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D\Desktop\algorithm\week02\"/>
    </mc:Choice>
  </mc:AlternateContent>
  <xr:revisionPtr revIDLastSave="0" documentId="13_ncr:1_{F3B9D4FC-1EE9-4134-842A-32225280B1B4}" xr6:coauthVersionLast="47" xr6:coauthVersionMax="47" xr10:uidLastSave="{00000000-0000-0000-0000-000000000000}"/>
  <bookViews>
    <workbookView xWindow="-120" yWindow="-120" windowWidth="38640" windowHeight="21120" xr2:uid="{214B3055-B83F-4E0B-AC70-A79C0459B4B7}"/>
  </bookViews>
  <sheets>
    <sheet name="Sheet1" sheetId="1" r:id="rId1"/>
  </sheets>
  <definedNames>
    <definedName name="_xlchart.v1.0" hidden="1">Sheet1!$A$45:$A$46</definedName>
    <definedName name="_xlchart.v1.1" hidden="1">Sheet1!$A$47:$A$57</definedName>
    <definedName name="_xlchart.v1.2" hidden="1">Sheet1!$B$45:$B$46</definedName>
    <definedName name="_xlchart.v1.3" hidden="1">Sheet1!$B$47:$B$57</definedName>
    <definedName name="_xlchart.v1.4" hidden="1">Sheet1!$C$45:$C$46</definedName>
    <definedName name="_xlchart.v1.5" hidden="1">Sheet1!$C$47:$C$57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4" i="1" l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</calcChain>
</file>

<file path=xl/sharedStrings.xml><?xml version="1.0" encoding="utf-8"?>
<sst xmlns="http://schemas.openxmlformats.org/spreadsheetml/2006/main" count="201" uniqueCount="111">
  <si>
    <t>A 실험 결과</t>
  </si>
  <si>
    <t>1000번 실행</t>
  </si>
  <si>
    <t>B 실험 결과</t>
  </si>
  <si>
    <t>1000번 실행</t>
    <phoneticPr fontId="3" type="noConversion"/>
  </si>
  <si>
    <t>2000번 실행</t>
  </si>
  <si>
    <t>C 실험 결과</t>
  </si>
  <si>
    <t>C 실험 결과</t>
    <phoneticPr fontId="3" type="noConversion"/>
  </si>
  <si>
    <t>4000번 실행</t>
  </si>
  <si>
    <t>8000번 실행</t>
  </si>
  <si>
    <t>16000번 실행</t>
  </si>
  <si>
    <t>32000번 실행</t>
  </si>
  <si>
    <t>64000번 실행</t>
  </si>
  <si>
    <t>128000번 실행</t>
  </si>
  <si>
    <t>n</t>
    <phoneticPr fontId="3" type="noConversion"/>
  </si>
  <si>
    <t>선택정렬(ms)</t>
    <phoneticPr fontId="3" type="noConversion"/>
  </si>
  <si>
    <t>삽입정렬(ms)</t>
    <phoneticPr fontId="3" type="noConversion"/>
  </si>
  <si>
    <t>선택정렬: 0.862600000000</t>
    <phoneticPr fontId="3" type="noConversion"/>
  </si>
  <si>
    <t>삽입정렬:     0.700300</t>
    <phoneticPr fontId="3" type="noConversion"/>
  </si>
  <si>
    <t>실험A</t>
    <phoneticPr fontId="3" type="noConversion"/>
  </si>
  <si>
    <t>실험B</t>
    <phoneticPr fontId="3" type="noConversion"/>
  </si>
  <si>
    <t>실험C</t>
    <phoneticPr fontId="3" type="noConversion"/>
  </si>
  <si>
    <t>선택정렬: 1.032500000000</t>
    <phoneticPr fontId="3" type="noConversion"/>
  </si>
  <si>
    <t>삽입정렬:     0.002000</t>
    <phoneticPr fontId="3" type="noConversion"/>
  </si>
  <si>
    <t>선택정렬: 0.636100000000</t>
    <phoneticPr fontId="3" type="noConversion"/>
  </si>
  <si>
    <t>삽입정렬:     1.099800</t>
    <phoneticPr fontId="3" type="noConversion"/>
  </si>
  <si>
    <t>선택정렬: 3.027900000000</t>
    <phoneticPr fontId="3" type="noConversion"/>
  </si>
  <si>
    <t>삽입정렬:     2.418600</t>
    <phoneticPr fontId="3" type="noConversion"/>
  </si>
  <si>
    <t>선택정렬: 2.994900000000</t>
    <phoneticPr fontId="3" type="noConversion"/>
  </si>
  <si>
    <t>삽입정렬:     0.003200</t>
    <phoneticPr fontId="3" type="noConversion"/>
  </si>
  <si>
    <t>선택정렬: 3.224100000000</t>
    <phoneticPr fontId="3" type="noConversion"/>
  </si>
  <si>
    <t>삽입정렬:     2.171600</t>
    <phoneticPr fontId="3" type="noConversion"/>
  </si>
  <si>
    <t>선택정렬: 7.243500000000</t>
    <phoneticPr fontId="3" type="noConversion"/>
  </si>
  <si>
    <t>삽입정렬:     5.275900</t>
    <phoneticPr fontId="3" type="noConversion"/>
  </si>
  <si>
    <t>선택정렬: 14.520400000000</t>
    <phoneticPr fontId="3" type="noConversion"/>
  </si>
  <si>
    <t>삽입정렬:     0.006100</t>
    <phoneticPr fontId="3" type="noConversion"/>
  </si>
  <si>
    <t>선택정렬: 9.470200000000</t>
    <phoneticPr fontId="3" type="noConversion"/>
  </si>
  <si>
    <t>삽입정렬:     8.606100</t>
    <phoneticPr fontId="3" type="noConversion"/>
  </si>
  <si>
    <t>선택정렬: 25.505200000000</t>
    <phoneticPr fontId="3" type="noConversion"/>
  </si>
  <si>
    <t>삽입정렬:    19.936500</t>
    <phoneticPr fontId="3" type="noConversion"/>
  </si>
  <si>
    <t>선택정렬: 53.217200000000</t>
    <phoneticPr fontId="3" type="noConversion"/>
  </si>
  <si>
    <t>삽입정렬:     0.011900</t>
    <phoneticPr fontId="3" type="noConversion"/>
  </si>
  <si>
    <t>선택정렬: 36.610200000000</t>
    <phoneticPr fontId="3" type="noConversion"/>
  </si>
  <si>
    <t>삽입정렬:    32.941600</t>
    <phoneticPr fontId="3" type="noConversion"/>
  </si>
  <si>
    <t>선택정렬: 102.500400000000</t>
    <phoneticPr fontId="3" type="noConversion"/>
  </si>
  <si>
    <t>삽입정렬:    69.941700</t>
    <phoneticPr fontId="3" type="noConversion"/>
  </si>
  <si>
    <t>선택정렬: 183.660600000000</t>
    <phoneticPr fontId="3" type="noConversion"/>
  </si>
  <si>
    <t>삽입정렬:     0.023700</t>
    <phoneticPr fontId="3" type="noConversion"/>
  </si>
  <si>
    <t>선택정렬: 145.639500000000</t>
    <phoneticPr fontId="3" type="noConversion"/>
  </si>
  <si>
    <t>삽입정렬:   132.963400</t>
    <phoneticPr fontId="3" type="noConversion"/>
  </si>
  <si>
    <t>선택정렬: 395.535200000000</t>
    <phoneticPr fontId="3" type="noConversion"/>
  </si>
  <si>
    <t>삽입정렬:   271.669000</t>
    <phoneticPr fontId="3" type="noConversion"/>
  </si>
  <si>
    <t>선택정렬: 761.739900000000</t>
    <phoneticPr fontId="3" type="noConversion"/>
  </si>
  <si>
    <t>삽입정렬:     0.081300</t>
    <phoneticPr fontId="3" type="noConversion"/>
  </si>
  <si>
    <t>선택정렬: 582.259100000000</t>
    <phoneticPr fontId="3" type="noConversion"/>
  </si>
  <si>
    <t>삽입정렬:   514.174700</t>
    <phoneticPr fontId="3" type="noConversion"/>
  </si>
  <si>
    <t>선택정렬: 1647.635600000000</t>
    <phoneticPr fontId="3" type="noConversion"/>
  </si>
  <si>
    <t>삽입정렬:  1038.046100</t>
    <phoneticPr fontId="3" type="noConversion"/>
  </si>
  <si>
    <t>선택정렬: 3083.228900000000</t>
    <phoneticPr fontId="3" type="noConversion"/>
  </si>
  <si>
    <t>삽입정렬:     0.093200</t>
    <phoneticPr fontId="3" type="noConversion"/>
  </si>
  <si>
    <t>선택정렬: 2307.302100000000</t>
    <phoneticPr fontId="3" type="noConversion"/>
  </si>
  <si>
    <t>삽입정렬:  2096.815300</t>
    <phoneticPr fontId="3" type="noConversion"/>
  </si>
  <si>
    <t>선택정렬: 6449.538700000000</t>
    <phoneticPr fontId="3" type="noConversion"/>
  </si>
  <si>
    <t>삽입정렬:  4179.143200</t>
    <phoneticPr fontId="3" type="noConversion"/>
  </si>
  <si>
    <t>선택정렬: 13345.081600000000</t>
    <phoneticPr fontId="3" type="noConversion"/>
  </si>
  <si>
    <t>삽입정렬:     0.275800</t>
    <phoneticPr fontId="3" type="noConversion"/>
  </si>
  <si>
    <t>선택정렬: 9953.613400000000</t>
    <phoneticPr fontId="3" type="noConversion"/>
  </si>
  <si>
    <t>삽입정렬:  8372.731500</t>
    <phoneticPr fontId="3" type="noConversion"/>
  </si>
  <si>
    <t>1000~2000</t>
    <phoneticPr fontId="3" type="noConversion"/>
  </si>
  <si>
    <t>구간</t>
    <phoneticPr fontId="3" type="noConversion"/>
  </si>
  <si>
    <t>2000~4000</t>
    <phoneticPr fontId="3" type="noConversion"/>
  </si>
  <si>
    <t>16000~32000</t>
    <phoneticPr fontId="3" type="noConversion"/>
  </si>
  <si>
    <t>32000~64000</t>
    <phoneticPr fontId="3" type="noConversion"/>
  </si>
  <si>
    <t>64000~128000</t>
    <phoneticPr fontId="3" type="noConversion"/>
  </si>
  <si>
    <t>선택정렬 증가율</t>
    <phoneticPr fontId="3" type="noConversion"/>
  </si>
  <si>
    <t>삽입정렬 증가율</t>
    <phoneticPr fontId="3" type="noConversion"/>
  </si>
  <si>
    <t>실험 A</t>
    <phoneticPr fontId="3" type="noConversion"/>
  </si>
  <si>
    <t>실험 B</t>
    <phoneticPr fontId="3" type="noConversion"/>
  </si>
  <si>
    <t>256000번 실행</t>
  </si>
  <si>
    <t>5000번 실행</t>
  </si>
  <si>
    <t>10000번 실행</t>
  </si>
  <si>
    <t>15000번 실행</t>
  </si>
  <si>
    <t>선택정렬: 42.646100000000</t>
    <phoneticPr fontId="3" type="noConversion"/>
  </si>
  <si>
    <t>삽입정렬:    28.490200</t>
    <phoneticPr fontId="3" type="noConversion"/>
  </si>
  <si>
    <t>선택정렬: 77.169800000000</t>
    <phoneticPr fontId="3" type="noConversion"/>
  </si>
  <si>
    <t>삽입정렬:     0.015300</t>
    <phoneticPr fontId="3" type="noConversion"/>
  </si>
  <si>
    <t>선택정렬: 57.152900000000</t>
    <phoneticPr fontId="3" type="noConversion"/>
  </si>
  <si>
    <t>삽입정렬:    51.850000</t>
    <phoneticPr fontId="3" type="noConversion"/>
  </si>
  <si>
    <t>선택정렬: 10.992900000000</t>
    <phoneticPr fontId="3" type="noConversion"/>
  </si>
  <si>
    <t>삽입정렬:     8.881400</t>
    <phoneticPr fontId="3" type="noConversion"/>
  </si>
  <si>
    <t>선택정렬: 20.089900000000</t>
    <phoneticPr fontId="3" type="noConversion"/>
  </si>
  <si>
    <t>삽입정렬:     0.007200</t>
    <phoneticPr fontId="3" type="noConversion"/>
  </si>
  <si>
    <t>선택정렬: 13.751000000000</t>
    <phoneticPr fontId="3" type="noConversion"/>
  </si>
  <si>
    <t>삽입정렬:    12.742100</t>
    <phoneticPr fontId="3" type="noConversion"/>
  </si>
  <si>
    <t>선택정렬: 87.357500000000</t>
    <phoneticPr fontId="3" type="noConversion"/>
  </si>
  <si>
    <t>선택정렬: 164.500800000000</t>
    <phoneticPr fontId="3" type="noConversion"/>
  </si>
  <si>
    <t>삽입정렬:    60.469500</t>
    <phoneticPr fontId="3" type="noConversion"/>
  </si>
  <si>
    <t>삽입정렬:     0.021100</t>
    <phoneticPr fontId="3" type="noConversion"/>
  </si>
  <si>
    <t>선택정렬: 135.302700000000</t>
    <phoneticPr fontId="3" type="noConversion"/>
  </si>
  <si>
    <t>삽입정렬:   111.664400</t>
    <phoneticPr fontId="3" type="noConversion"/>
  </si>
  <si>
    <t>선택정렬: 26101.401699999999</t>
    <phoneticPr fontId="3" type="noConversion"/>
  </si>
  <si>
    <t>삽입정렬: 16761.015300</t>
    <phoneticPr fontId="3" type="noConversion"/>
  </si>
  <si>
    <t>선택정렬: 62985.170700000002</t>
    <phoneticPr fontId="3" type="noConversion"/>
  </si>
  <si>
    <t>삽입정렬:     0.455300</t>
    <phoneticPr fontId="3" type="noConversion"/>
  </si>
  <si>
    <t>선택정렬: 55569.639999999999</t>
    <phoneticPr fontId="3" type="noConversion"/>
  </si>
  <si>
    <t>삽입정렬: 41101.481800</t>
    <phoneticPr fontId="3" type="noConversion"/>
  </si>
  <si>
    <t>4000~5000</t>
    <phoneticPr fontId="3" type="noConversion"/>
  </si>
  <si>
    <t>5000~8000</t>
    <phoneticPr fontId="3" type="noConversion"/>
  </si>
  <si>
    <t>8000~10000</t>
    <phoneticPr fontId="3" type="noConversion"/>
  </si>
  <si>
    <t>10000~15000</t>
    <phoneticPr fontId="3" type="noConversion"/>
  </si>
  <si>
    <t>15000~16000</t>
    <phoneticPr fontId="3" type="noConversion"/>
  </si>
  <si>
    <t>128000~256000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</si>
</sst>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1" applyAlignment="1">
      <alignment horizontal="left" vertical="center"/>
    </xf>
    <xf numFmtId="0" fontId="2" fillId="0" borderId="2" xfId="2">
      <alignment vertical="center"/>
    </xf>
  </cellXfs>
  <cellStyles count="3">
    <cellStyle name="요약" xfId="2" builtinId="25"/>
    <cellStyle name="출력" xfId="1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실험 </a:t>
            </a:r>
            <a:r>
              <a:rPr lang="en-US"/>
              <a:t>A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Sheet1!$B$45:$B$46</c:f>
              <c:strCache>
                <c:ptCount val="2"/>
                <c:pt idx="0">
                  <c:v>실험A</c:v>
                </c:pt>
                <c:pt idx="1">
                  <c:v>선택정렬(ms)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Sheet1!$A$47:$A$58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cat>
          <c:val>
            <c:numRef>
              <c:f>Sheet1!$B$47:$B$58</c:f>
              <c:numCache>
                <c:formatCode>General</c:formatCode>
                <c:ptCount val="12"/>
                <c:pt idx="0">
                  <c:v>0.86260000000000003</c:v>
                </c:pt>
                <c:pt idx="1">
                  <c:v>3.0278999999999998</c:v>
                </c:pt>
                <c:pt idx="2">
                  <c:v>7.2435</c:v>
                </c:pt>
                <c:pt idx="3">
                  <c:v>10.992900000000001</c:v>
                </c:pt>
                <c:pt idx="4">
                  <c:v>25.505199999999999</c:v>
                </c:pt>
                <c:pt idx="5">
                  <c:v>42.646099999999997</c:v>
                </c:pt>
                <c:pt idx="6">
                  <c:v>87.357500000000002</c:v>
                </c:pt>
                <c:pt idx="7">
                  <c:v>102.5004</c:v>
                </c:pt>
                <c:pt idx="8">
                  <c:v>395.53519999999997</c:v>
                </c:pt>
                <c:pt idx="9">
                  <c:v>1647.6356000000001</c:v>
                </c:pt>
                <c:pt idx="10">
                  <c:v>6449.5387000000001</c:v>
                </c:pt>
                <c:pt idx="11">
                  <c:v>26101.4016999999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EC-42B3-AC87-8C00BD78E47B}"/>
            </c:ext>
          </c:extLst>
        </c:ser>
        <c:ser>
          <c:idx val="2"/>
          <c:order val="2"/>
          <c:tx>
            <c:strRef>
              <c:f>Sheet1!$C$45:$C$46</c:f>
              <c:strCache>
                <c:ptCount val="2"/>
                <c:pt idx="0">
                  <c:v>실험A</c:v>
                </c:pt>
                <c:pt idx="1">
                  <c:v>삽입정렬(ms)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Sheet1!$A$47:$A$58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cat>
          <c:val>
            <c:numRef>
              <c:f>Sheet1!$C$47:$C$58</c:f>
              <c:numCache>
                <c:formatCode>General</c:formatCode>
                <c:ptCount val="12"/>
                <c:pt idx="0">
                  <c:v>0.70030000000000003</c:v>
                </c:pt>
                <c:pt idx="1">
                  <c:v>2.4186000000000001</c:v>
                </c:pt>
                <c:pt idx="2">
                  <c:v>5.2759</c:v>
                </c:pt>
                <c:pt idx="3">
                  <c:v>8.8813999999999993</c:v>
                </c:pt>
                <c:pt idx="4">
                  <c:v>19.936499999999999</c:v>
                </c:pt>
                <c:pt idx="5">
                  <c:v>28.490200000000002</c:v>
                </c:pt>
                <c:pt idx="6">
                  <c:v>60.469499999999996</c:v>
                </c:pt>
                <c:pt idx="7">
                  <c:v>69.941699999999997</c:v>
                </c:pt>
                <c:pt idx="8">
                  <c:v>271.66899999999998</c:v>
                </c:pt>
                <c:pt idx="9">
                  <c:v>1038.0461</c:v>
                </c:pt>
                <c:pt idx="10">
                  <c:v>4179.1432000000004</c:v>
                </c:pt>
                <c:pt idx="11">
                  <c:v>16761.015299999999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EC-42B3-AC87-8C00BD78E4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58745919"/>
        <c:axId val="20547145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Sheet1!$A$45:$A$46</c15:sqref>
                        </c15:formulaRef>
                      </c:ext>
                    </c:extLst>
                    <c:strCache>
                      <c:ptCount val="2"/>
                      <c:pt idx="0">
                        <c:v>실험A</c:v>
                      </c:pt>
                      <c:pt idx="1">
                        <c:v>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Sheet1!$A$47:$A$58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5000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15000</c:v>
                      </c:pt>
                      <c:pt idx="7">
                        <c:v>16000</c:v>
                      </c:pt>
                      <c:pt idx="8">
                        <c:v>32000</c:v>
                      </c:pt>
                      <c:pt idx="9">
                        <c:v>64000</c:v>
                      </c:pt>
                      <c:pt idx="10">
                        <c:v>128000</c:v>
                      </c:pt>
                      <c:pt idx="11">
                        <c:v>256000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Sheet1!$A$47:$A$58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5000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15000</c:v>
                      </c:pt>
                      <c:pt idx="7">
                        <c:v>16000</c:v>
                      </c:pt>
                      <c:pt idx="8">
                        <c:v>32000</c:v>
                      </c:pt>
                      <c:pt idx="9">
                        <c:v>64000</c:v>
                      </c:pt>
                      <c:pt idx="10">
                        <c:v>128000</c:v>
                      </c:pt>
                      <c:pt idx="11">
                        <c:v>256000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FEC-42B3-AC87-8C00BD78E47B}"/>
                  </c:ext>
                </c:extLst>
              </c15:ser>
            </c15:filteredBarSeries>
          </c:ext>
        </c:extLst>
      </c:barChart>
      <c:catAx>
        <c:axId val="25874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714543"/>
        <c:crosses val="autoZero"/>
        <c:auto val="1"/>
        <c:lblAlgn val="ctr"/>
        <c:lblOffset val="100"/>
        <c:noMultiLvlLbl val="0"/>
      </c:catAx>
      <c:valAx>
        <c:axId val="20547145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874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실험 </a:t>
            </a:r>
            <a:r>
              <a:rPr lang="en-US" altLang="ko-KR"/>
              <a:t>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Sheet1!$F$46</c:f>
              <c:strCache>
                <c:ptCount val="1"/>
                <c:pt idx="0">
                  <c:v>선택정렬(ms)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Sheet1!$E$47:$E$58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cat>
          <c:val>
            <c:numRef>
              <c:f>Sheet1!$F$47:$F$58</c:f>
              <c:numCache>
                <c:formatCode>General</c:formatCode>
                <c:ptCount val="12"/>
                <c:pt idx="0">
                  <c:v>1.0325</c:v>
                </c:pt>
                <c:pt idx="1">
                  <c:v>2.9948999999999999</c:v>
                </c:pt>
                <c:pt idx="2">
                  <c:v>14.5204</c:v>
                </c:pt>
                <c:pt idx="3">
                  <c:v>20.0899</c:v>
                </c:pt>
                <c:pt idx="4">
                  <c:v>53.217199999999998</c:v>
                </c:pt>
                <c:pt idx="5">
                  <c:v>77.169799999999995</c:v>
                </c:pt>
                <c:pt idx="6">
                  <c:v>164.5008</c:v>
                </c:pt>
                <c:pt idx="7">
                  <c:v>183.66059999999999</c:v>
                </c:pt>
                <c:pt idx="8">
                  <c:v>761.73990000000003</c:v>
                </c:pt>
                <c:pt idx="9">
                  <c:v>3083.2289000000001</c:v>
                </c:pt>
                <c:pt idx="10">
                  <c:v>13345.0816</c:v>
                </c:pt>
                <c:pt idx="11">
                  <c:v>62985.170700000002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C5-4D02-8D3F-B1D2E1E7A8C9}"/>
            </c:ext>
          </c:extLst>
        </c:ser>
        <c:ser>
          <c:idx val="2"/>
          <c:order val="2"/>
          <c:tx>
            <c:strRef>
              <c:f>Sheet1!$G$46</c:f>
              <c:strCache>
                <c:ptCount val="1"/>
                <c:pt idx="0">
                  <c:v>삽입정렬(ms)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Sheet1!$E$47:$E$58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cat>
          <c:val>
            <c:numRef>
              <c:f>Sheet1!$G$47:$G$58</c:f>
              <c:numCache>
                <c:formatCode>General</c:formatCode>
                <c:ptCount val="12"/>
                <c:pt idx="0">
                  <c:v>2E-3</c:v>
                </c:pt>
                <c:pt idx="1">
                  <c:v>3.2000000000000002E-3</c:v>
                </c:pt>
                <c:pt idx="2">
                  <c:v>6.1000000000000004E-3</c:v>
                </c:pt>
                <c:pt idx="3">
                  <c:v>7.1999999999999998E-3</c:v>
                </c:pt>
                <c:pt idx="4">
                  <c:v>1.1900000000000001E-2</c:v>
                </c:pt>
                <c:pt idx="5">
                  <c:v>1.5299999999999999E-2</c:v>
                </c:pt>
                <c:pt idx="6">
                  <c:v>2.1100000000000001E-2</c:v>
                </c:pt>
                <c:pt idx="7">
                  <c:v>2.3699999999999999E-2</c:v>
                </c:pt>
                <c:pt idx="8">
                  <c:v>8.1299999999999997E-2</c:v>
                </c:pt>
                <c:pt idx="9">
                  <c:v>9.3200000000000005E-2</c:v>
                </c:pt>
                <c:pt idx="10">
                  <c:v>0.27579999999999999</c:v>
                </c:pt>
                <c:pt idx="11">
                  <c:v>0.45529999999999998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C5-4D02-8D3F-B1D2E1E7A8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58682815"/>
        <c:axId val="20546646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Sheet1!$E$46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Sheet1!$E$47:$E$58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5000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15000</c:v>
                      </c:pt>
                      <c:pt idx="7">
                        <c:v>16000</c:v>
                      </c:pt>
                      <c:pt idx="8">
                        <c:v>32000</c:v>
                      </c:pt>
                      <c:pt idx="9">
                        <c:v>64000</c:v>
                      </c:pt>
                      <c:pt idx="10">
                        <c:v>128000</c:v>
                      </c:pt>
                      <c:pt idx="11">
                        <c:v>256000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Sheet1!$E$47:$E$58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5000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15000</c:v>
                      </c:pt>
                      <c:pt idx="7">
                        <c:v>16000</c:v>
                      </c:pt>
                      <c:pt idx="8">
                        <c:v>32000</c:v>
                      </c:pt>
                      <c:pt idx="9">
                        <c:v>64000</c:v>
                      </c:pt>
                      <c:pt idx="10">
                        <c:v>128000</c:v>
                      </c:pt>
                      <c:pt idx="11">
                        <c:v>256000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6C5-4D02-8D3F-B1D2E1E7A8C9}"/>
                  </c:ext>
                </c:extLst>
              </c15:ser>
            </c15:filteredBarSeries>
          </c:ext>
        </c:extLst>
      </c:barChart>
      <c:catAx>
        <c:axId val="25868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664623"/>
        <c:crosses val="autoZero"/>
        <c:auto val="1"/>
        <c:lblAlgn val="ctr"/>
        <c:lblOffset val="100"/>
        <c:noMultiLvlLbl val="0"/>
      </c:catAx>
      <c:valAx>
        <c:axId val="2054664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86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실험 </a:t>
            </a:r>
            <a:r>
              <a:rPr lang="en-US" altLang="ko-KR"/>
              <a:t>C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Sheet1!$J$45:$J$46</c:f>
              <c:strCache>
                <c:ptCount val="2"/>
                <c:pt idx="0">
                  <c:v>실험C</c:v>
                </c:pt>
                <c:pt idx="1">
                  <c:v>선택정렬(ms)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Sheet1!$I$47:$I$58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cat>
          <c:val>
            <c:numRef>
              <c:f>Sheet1!$J$47:$J$58</c:f>
              <c:numCache>
                <c:formatCode>General</c:formatCode>
                <c:ptCount val="12"/>
                <c:pt idx="0">
                  <c:v>0.6361</c:v>
                </c:pt>
                <c:pt idx="1">
                  <c:v>3.2241</c:v>
                </c:pt>
                <c:pt idx="2">
                  <c:v>9.4702000000000002</c:v>
                </c:pt>
                <c:pt idx="3">
                  <c:v>13.750999999999999</c:v>
                </c:pt>
                <c:pt idx="4">
                  <c:v>36.610199999999999</c:v>
                </c:pt>
                <c:pt idx="5">
                  <c:v>57.152900000000002</c:v>
                </c:pt>
                <c:pt idx="6">
                  <c:v>135.30269999999999</c:v>
                </c:pt>
                <c:pt idx="7">
                  <c:v>145.6395</c:v>
                </c:pt>
                <c:pt idx="8">
                  <c:v>582.25909999999999</c:v>
                </c:pt>
                <c:pt idx="9">
                  <c:v>2307.3020999999999</c:v>
                </c:pt>
                <c:pt idx="10">
                  <c:v>9953.6134000000002</c:v>
                </c:pt>
                <c:pt idx="11">
                  <c:v>55569.639999999898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E-44CF-87FA-B47B59D2DC16}"/>
            </c:ext>
          </c:extLst>
        </c:ser>
        <c:ser>
          <c:idx val="2"/>
          <c:order val="2"/>
          <c:tx>
            <c:strRef>
              <c:f>Sheet1!$K$45:$K$46</c:f>
              <c:strCache>
                <c:ptCount val="2"/>
                <c:pt idx="0">
                  <c:v>실험C</c:v>
                </c:pt>
                <c:pt idx="1">
                  <c:v>삽입정렬(ms)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Sheet1!$I$47:$I$58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cat>
          <c:val>
            <c:numRef>
              <c:f>Sheet1!$K$47:$K$58</c:f>
              <c:numCache>
                <c:formatCode>General</c:formatCode>
                <c:ptCount val="12"/>
                <c:pt idx="0">
                  <c:v>1.0998000000000001</c:v>
                </c:pt>
                <c:pt idx="1">
                  <c:v>2.1716000000000002</c:v>
                </c:pt>
                <c:pt idx="2">
                  <c:v>8.6060999999999996</c:v>
                </c:pt>
                <c:pt idx="3">
                  <c:v>12.742100000000001</c:v>
                </c:pt>
                <c:pt idx="4">
                  <c:v>32.941600000000001</c:v>
                </c:pt>
                <c:pt idx="5">
                  <c:v>51.85</c:v>
                </c:pt>
                <c:pt idx="6">
                  <c:v>111.6644</c:v>
                </c:pt>
                <c:pt idx="7">
                  <c:v>132.96340000000001</c:v>
                </c:pt>
                <c:pt idx="8">
                  <c:v>514.17470000000003</c:v>
                </c:pt>
                <c:pt idx="9">
                  <c:v>2096.8153000000002</c:v>
                </c:pt>
                <c:pt idx="10">
                  <c:v>8372.7314999999999</c:v>
                </c:pt>
                <c:pt idx="11">
                  <c:v>41101.481800000001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E-44CF-87FA-B47B59D2DC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03491839"/>
        <c:axId val="20547620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Sheet1!$I$45:$I$46</c15:sqref>
                        </c15:formulaRef>
                      </c:ext>
                    </c:extLst>
                    <c:strCache>
                      <c:ptCount val="2"/>
                      <c:pt idx="0">
                        <c:v>실험C</c:v>
                      </c:pt>
                      <c:pt idx="1">
                        <c:v>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Sheet1!$I$47:$I$58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5000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15000</c:v>
                      </c:pt>
                      <c:pt idx="7">
                        <c:v>16000</c:v>
                      </c:pt>
                      <c:pt idx="8">
                        <c:v>32000</c:v>
                      </c:pt>
                      <c:pt idx="9">
                        <c:v>64000</c:v>
                      </c:pt>
                      <c:pt idx="10">
                        <c:v>128000</c:v>
                      </c:pt>
                      <c:pt idx="11">
                        <c:v>256000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Sheet1!$I$47:$I$58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5000</c:v>
                      </c:pt>
                      <c:pt idx="4">
                        <c:v>8000</c:v>
                      </c:pt>
                      <c:pt idx="5">
                        <c:v>10000</c:v>
                      </c:pt>
                      <c:pt idx="6">
                        <c:v>15000</c:v>
                      </c:pt>
                      <c:pt idx="7">
                        <c:v>16000</c:v>
                      </c:pt>
                      <c:pt idx="8">
                        <c:v>32000</c:v>
                      </c:pt>
                      <c:pt idx="9">
                        <c:v>64000</c:v>
                      </c:pt>
                      <c:pt idx="10">
                        <c:v>128000</c:v>
                      </c:pt>
                      <c:pt idx="11">
                        <c:v>256000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03E-44CF-87FA-B47B59D2DC16}"/>
                  </c:ext>
                </c:extLst>
              </c15:ser>
            </c15:filteredBarSeries>
          </c:ext>
        </c:extLst>
      </c:barChart>
      <c:catAx>
        <c:axId val="70349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762063"/>
        <c:crosses val="autoZero"/>
        <c:auto val="1"/>
        <c:lblAlgn val="ctr"/>
        <c:lblOffset val="100"/>
        <c:noMultiLvlLbl val="0"/>
      </c:catAx>
      <c:valAx>
        <c:axId val="20547620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349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실험 </a:t>
            </a:r>
            <a:r>
              <a:rPr lang="en-US" altLang="ko-KR"/>
              <a:t>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Sheet1!$B$45:$B$46</c:f>
              <c:strCache>
                <c:ptCount val="2"/>
                <c:pt idx="0">
                  <c:v>실험A</c:v>
                </c:pt>
                <c:pt idx="1">
                  <c:v>선택정렬(ms)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Sheet1!$A$47:$A$58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xVal>
          <c:yVal>
            <c:numRef>
              <c:f>Sheet1!$B$47:$B$58</c:f>
              <c:numCache>
                <c:formatCode>General</c:formatCode>
                <c:ptCount val="12"/>
                <c:pt idx="0">
                  <c:v>0.86260000000000003</c:v>
                </c:pt>
                <c:pt idx="1">
                  <c:v>3.0278999999999998</c:v>
                </c:pt>
                <c:pt idx="2">
                  <c:v>7.2435</c:v>
                </c:pt>
                <c:pt idx="3">
                  <c:v>10.992900000000001</c:v>
                </c:pt>
                <c:pt idx="4">
                  <c:v>25.505199999999999</c:v>
                </c:pt>
                <c:pt idx="5">
                  <c:v>42.646099999999997</c:v>
                </c:pt>
                <c:pt idx="6">
                  <c:v>87.357500000000002</c:v>
                </c:pt>
                <c:pt idx="7">
                  <c:v>102.5004</c:v>
                </c:pt>
                <c:pt idx="8">
                  <c:v>395.53519999999997</c:v>
                </c:pt>
                <c:pt idx="9">
                  <c:v>1647.6356000000001</c:v>
                </c:pt>
                <c:pt idx="10">
                  <c:v>6449.5387000000001</c:v>
                </c:pt>
                <c:pt idx="11">
                  <c:v>26101.4016999999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9F-441F-AB35-7C53344C5480}"/>
            </c:ext>
          </c:extLst>
        </c:ser>
        <c:ser>
          <c:idx val="1"/>
          <c:order val="1"/>
          <c:tx>
            <c:strRef>
              <c:f>Sheet1!$C$45:$C$46</c:f>
              <c:strCache>
                <c:ptCount val="2"/>
                <c:pt idx="0">
                  <c:v>실험A</c:v>
                </c:pt>
                <c:pt idx="1">
                  <c:v>삽입정렬(ms)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Sheet1!$A$47:$A$58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xVal>
          <c:yVal>
            <c:numRef>
              <c:f>Sheet1!$C$47:$C$58</c:f>
              <c:numCache>
                <c:formatCode>General</c:formatCode>
                <c:ptCount val="12"/>
                <c:pt idx="0">
                  <c:v>0.70030000000000003</c:v>
                </c:pt>
                <c:pt idx="1">
                  <c:v>2.4186000000000001</c:v>
                </c:pt>
                <c:pt idx="2">
                  <c:v>5.2759</c:v>
                </c:pt>
                <c:pt idx="3">
                  <c:v>8.8813999999999993</c:v>
                </c:pt>
                <c:pt idx="4">
                  <c:v>19.936499999999999</c:v>
                </c:pt>
                <c:pt idx="5">
                  <c:v>28.490200000000002</c:v>
                </c:pt>
                <c:pt idx="6">
                  <c:v>60.469499999999996</c:v>
                </c:pt>
                <c:pt idx="7">
                  <c:v>69.941699999999997</c:v>
                </c:pt>
                <c:pt idx="8">
                  <c:v>271.66899999999998</c:v>
                </c:pt>
                <c:pt idx="9">
                  <c:v>1038.0461</c:v>
                </c:pt>
                <c:pt idx="10">
                  <c:v>4179.1432000000004</c:v>
                </c:pt>
                <c:pt idx="11">
                  <c:v>16761.015299999999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9F-441F-AB35-7C53344C5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65615"/>
        <c:axId val="2054781743"/>
      </c:scatterChart>
      <c:valAx>
        <c:axId val="10376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781743"/>
        <c:crosses val="autoZero"/>
        <c:crossBetween val="midCat"/>
      </c:valAx>
      <c:valAx>
        <c:axId val="20547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76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실험 </a:t>
            </a:r>
            <a:r>
              <a:rPr lang="en-US" altLang="ko-KR"/>
              <a:t>B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Sheet1!$F$45:$F$46</c:f>
              <c:strCache>
                <c:ptCount val="2"/>
                <c:pt idx="0">
                  <c:v>실험B</c:v>
                </c:pt>
                <c:pt idx="1">
                  <c:v>선택정렬(ms)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Sheet1!$E$47:$E$58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xVal>
          <c:yVal>
            <c:numRef>
              <c:f>Sheet1!$F$47:$F$58</c:f>
              <c:numCache>
                <c:formatCode>General</c:formatCode>
                <c:ptCount val="12"/>
                <c:pt idx="0">
                  <c:v>1.0325</c:v>
                </c:pt>
                <c:pt idx="1">
                  <c:v>2.9948999999999999</c:v>
                </c:pt>
                <c:pt idx="2">
                  <c:v>14.5204</c:v>
                </c:pt>
                <c:pt idx="3">
                  <c:v>20.0899</c:v>
                </c:pt>
                <c:pt idx="4">
                  <c:v>53.217199999999998</c:v>
                </c:pt>
                <c:pt idx="5">
                  <c:v>77.169799999999995</c:v>
                </c:pt>
                <c:pt idx="6">
                  <c:v>164.5008</c:v>
                </c:pt>
                <c:pt idx="7">
                  <c:v>183.66059999999999</c:v>
                </c:pt>
                <c:pt idx="8">
                  <c:v>761.73990000000003</c:v>
                </c:pt>
                <c:pt idx="9">
                  <c:v>3083.2289000000001</c:v>
                </c:pt>
                <c:pt idx="10">
                  <c:v>13345.0816</c:v>
                </c:pt>
                <c:pt idx="11">
                  <c:v>62985.170700000002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B-4653-AB28-A54E6F67F5CA}"/>
            </c:ext>
          </c:extLst>
        </c:ser>
        <c:ser>
          <c:idx val="1"/>
          <c:order val="1"/>
          <c:tx>
            <c:strRef>
              <c:f>Sheet1!$G$45:$G$46</c:f>
              <c:strCache>
                <c:ptCount val="2"/>
                <c:pt idx="0">
                  <c:v>실험B</c:v>
                </c:pt>
                <c:pt idx="1">
                  <c:v>삽입정렬(ms)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Sheet1!$E$47:$E$58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xVal>
          <c:yVal>
            <c:numRef>
              <c:f>Sheet1!$G$47:$G$58</c:f>
              <c:numCache>
                <c:formatCode>General</c:formatCode>
                <c:ptCount val="12"/>
                <c:pt idx="0">
                  <c:v>2E-3</c:v>
                </c:pt>
                <c:pt idx="1">
                  <c:v>3.2000000000000002E-3</c:v>
                </c:pt>
                <c:pt idx="2">
                  <c:v>6.1000000000000004E-3</c:v>
                </c:pt>
                <c:pt idx="3">
                  <c:v>7.1999999999999998E-3</c:v>
                </c:pt>
                <c:pt idx="4">
                  <c:v>1.1900000000000001E-2</c:v>
                </c:pt>
                <c:pt idx="5">
                  <c:v>1.5299999999999999E-2</c:v>
                </c:pt>
                <c:pt idx="6">
                  <c:v>2.1100000000000001E-2</c:v>
                </c:pt>
                <c:pt idx="7">
                  <c:v>2.3699999999999999E-2</c:v>
                </c:pt>
                <c:pt idx="8">
                  <c:v>8.1299999999999997E-2</c:v>
                </c:pt>
                <c:pt idx="9">
                  <c:v>9.3200000000000005E-2</c:v>
                </c:pt>
                <c:pt idx="10">
                  <c:v>0.27579999999999999</c:v>
                </c:pt>
                <c:pt idx="11">
                  <c:v>0.45529999999999998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BB-4653-AB28-A54E6F67F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564143"/>
        <c:axId val="2054763503"/>
      </c:scatterChart>
      <c:valAx>
        <c:axId val="25256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763503"/>
        <c:crosses val="autoZero"/>
        <c:crossBetween val="midCat"/>
      </c:valAx>
      <c:valAx>
        <c:axId val="205476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2564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실험 </a:t>
            </a:r>
            <a:r>
              <a:rPr lang="en-US" altLang="ko-KR"/>
              <a:t>C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Sheet1!$J$45:$J$46</c:f>
              <c:strCache>
                <c:ptCount val="2"/>
                <c:pt idx="0">
                  <c:v>실험C</c:v>
                </c:pt>
                <c:pt idx="1">
                  <c:v>선택정렬(ms)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Sheet1!$I$47:$I$58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xVal>
          <c:yVal>
            <c:numRef>
              <c:f>Sheet1!$J$47:$J$58</c:f>
              <c:numCache>
                <c:formatCode>General</c:formatCode>
                <c:ptCount val="12"/>
                <c:pt idx="0">
                  <c:v>0.6361</c:v>
                </c:pt>
                <c:pt idx="1">
                  <c:v>3.2241</c:v>
                </c:pt>
                <c:pt idx="2">
                  <c:v>9.4702000000000002</c:v>
                </c:pt>
                <c:pt idx="3">
                  <c:v>13.750999999999999</c:v>
                </c:pt>
                <c:pt idx="4">
                  <c:v>36.610199999999999</c:v>
                </c:pt>
                <c:pt idx="5">
                  <c:v>57.152900000000002</c:v>
                </c:pt>
                <c:pt idx="6">
                  <c:v>135.30269999999999</c:v>
                </c:pt>
                <c:pt idx="7">
                  <c:v>145.6395</c:v>
                </c:pt>
                <c:pt idx="8">
                  <c:v>582.25909999999999</c:v>
                </c:pt>
                <c:pt idx="9">
                  <c:v>2307.3020999999999</c:v>
                </c:pt>
                <c:pt idx="10">
                  <c:v>9953.6134000000002</c:v>
                </c:pt>
                <c:pt idx="11">
                  <c:v>55569.639999999898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64-4D8E-8DB8-514C28F71C87}"/>
            </c:ext>
          </c:extLst>
        </c:ser>
        <c:ser>
          <c:idx val="1"/>
          <c:order val="1"/>
          <c:tx>
            <c:strRef>
              <c:f>Sheet1!$K$45:$K$46</c:f>
              <c:strCache>
                <c:ptCount val="2"/>
                <c:pt idx="0">
                  <c:v>실험C</c:v>
                </c:pt>
                <c:pt idx="1">
                  <c:v>삽입정렬(ms)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Sheet1!$I$47:$I$58</c:f>
              <c:numCache>
                <c:formatCode>General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5000</c:v>
                </c:pt>
                <c:pt idx="4">
                  <c:v>8000</c:v>
                </c:pt>
                <c:pt idx="5">
                  <c:v>10000</c:v>
                </c:pt>
                <c:pt idx="6">
                  <c:v>15000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xVal>
          <c:yVal>
            <c:numRef>
              <c:f>Sheet1!$K$47:$K$58</c:f>
              <c:numCache>
                <c:formatCode>General</c:formatCode>
                <c:ptCount val="12"/>
                <c:pt idx="0">
                  <c:v>1.0998000000000001</c:v>
                </c:pt>
                <c:pt idx="1">
                  <c:v>2.1716000000000002</c:v>
                </c:pt>
                <c:pt idx="2">
                  <c:v>8.6060999999999996</c:v>
                </c:pt>
                <c:pt idx="3">
                  <c:v>12.742100000000001</c:v>
                </c:pt>
                <c:pt idx="4">
                  <c:v>32.941600000000001</c:v>
                </c:pt>
                <c:pt idx="5">
                  <c:v>51.85</c:v>
                </c:pt>
                <c:pt idx="6">
                  <c:v>111.6644</c:v>
                </c:pt>
                <c:pt idx="7">
                  <c:v>132.96340000000001</c:v>
                </c:pt>
                <c:pt idx="8">
                  <c:v>514.17470000000003</c:v>
                </c:pt>
                <c:pt idx="9">
                  <c:v>2096.8153000000002</c:v>
                </c:pt>
                <c:pt idx="10">
                  <c:v>8372.7314999999999</c:v>
                </c:pt>
                <c:pt idx="11">
                  <c:v>41101.481800000001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64-4D8E-8DB8-514C28F71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72287"/>
        <c:axId val="2054715983"/>
      </c:scatterChart>
      <c:valAx>
        <c:axId val="11407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715983"/>
        <c:crosses val="autoZero"/>
        <c:crossBetween val="midCat"/>
      </c:valAx>
      <c:valAx>
        <c:axId val="205471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407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186018</xdr:rowOff>
    </xdr:from>
    <xdr:to>
      <xdr:col>4</xdr:col>
      <xdr:colOff>582706</xdr:colOff>
      <xdr:row>72</xdr:row>
      <xdr:rowOff>161365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9DA55048-A1A0-B996-0656-0C2C3C105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1131794</xdr:colOff>
      <xdr:row>59</xdr:row>
      <xdr:rowOff>186018</xdr:rowOff>
    </xdr:from>
    <xdr:to>
      <xdr:col>9</xdr:col>
      <xdr:colOff>313764</xdr:colOff>
      <xdr:row>72</xdr:row>
      <xdr:rowOff>161365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1399E08F-132F-C22A-6871-34FD94A65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924484</xdr:colOff>
      <xdr:row>59</xdr:row>
      <xdr:rowOff>197223</xdr:rowOff>
    </xdr:from>
    <xdr:to>
      <xdr:col>16</xdr:col>
      <xdr:colOff>16808</xdr:colOff>
      <xdr:row>72</xdr:row>
      <xdr:rowOff>172570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379655A7-DDA4-5233-4254-9B32EDBE2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74</xdr:row>
      <xdr:rowOff>62753</xdr:rowOff>
    </xdr:from>
    <xdr:to>
      <xdr:col>4</xdr:col>
      <xdr:colOff>582706</xdr:colOff>
      <xdr:row>87</xdr:row>
      <xdr:rowOff>38100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CF23CAC8-294C-23B5-907B-56331610A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1182220</xdr:colOff>
      <xdr:row>74</xdr:row>
      <xdr:rowOff>73958</xdr:rowOff>
    </xdr:from>
    <xdr:to>
      <xdr:col>9</xdr:col>
      <xdr:colOff>364190</xdr:colOff>
      <xdr:row>87</xdr:row>
      <xdr:rowOff>49305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5D05A8C5-B3B5-6DC3-46EF-E544D6488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958102</xdr:colOff>
      <xdr:row>73</xdr:row>
      <xdr:rowOff>208429</xdr:rowOff>
    </xdr:from>
    <xdr:to>
      <xdr:col>16</xdr:col>
      <xdr:colOff>50426</xdr:colOff>
      <xdr:row>86</xdr:row>
      <xdr:rowOff>183776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A7819918-DC4C-EF6B-4E1A-88DD14DDB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A785-882B-477F-9666-0E15ECF9EBBD}">
  <dimension ref="A1:U104"/>
  <sheetViews>
    <sheetView tabSelected="1" topLeftCell="A51" zoomScale="85" zoomScaleNormal="85" workbookViewId="0">
      <selection activeCell="O91" sqref="O91"/>
    </sheetView>
  </sheetViews>
  <sheetFormatPr defaultRowHeight="16.5" x14ac:dyDescent="0.3"/>
  <cols>
    <col min="1" max="1" width="14.625" style="1" customWidth="1"/>
    <col min="2" max="2" width="14.25" style="1" customWidth="1"/>
    <col min="3" max="3" width="14.5" style="1" customWidth="1"/>
    <col min="4" max="4" width="9" style="1"/>
    <col min="5" max="5" width="15.875" style="1" customWidth="1"/>
    <col min="6" max="6" width="13.125" style="1" customWidth="1"/>
    <col min="7" max="7" width="16.625" style="1" customWidth="1"/>
    <col min="8" max="8" width="9" style="1"/>
    <col min="9" max="9" width="16.125" style="1" bestFit="1" customWidth="1"/>
    <col min="10" max="10" width="12.625" style="1" customWidth="1"/>
    <col min="11" max="11" width="14.375" style="1" customWidth="1"/>
    <col min="12" max="16384" width="9" style="1"/>
  </cols>
  <sheetData>
    <row r="1" spans="1:15" ht="17.25" thickBot="1" x14ac:dyDescent="0.35">
      <c r="A1" s="3">
        <v>1000</v>
      </c>
      <c r="B1" s="3"/>
      <c r="C1" s="3"/>
      <c r="D1" s="3">
        <v>2000</v>
      </c>
      <c r="E1" s="3"/>
      <c r="F1" s="3"/>
      <c r="G1" s="3">
        <v>4000</v>
      </c>
      <c r="H1" s="3"/>
      <c r="I1" s="3"/>
      <c r="J1" s="3">
        <v>8000</v>
      </c>
      <c r="K1" s="3"/>
      <c r="L1" s="3"/>
      <c r="M1" s="3">
        <v>16000</v>
      </c>
      <c r="N1" s="3"/>
      <c r="O1" s="3"/>
    </row>
    <row r="2" spans="1:15" ht="18" thickTop="1" thickBo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8" thickTop="1" thickBot="1" x14ac:dyDescent="0.35">
      <c r="A3" s="3" t="s">
        <v>0</v>
      </c>
      <c r="B3" s="3"/>
      <c r="C3" s="3"/>
      <c r="D3" s="3" t="s">
        <v>0</v>
      </c>
      <c r="E3" s="3"/>
      <c r="F3" s="3"/>
      <c r="G3" s="3" t="s">
        <v>0</v>
      </c>
      <c r="H3" s="3"/>
      <c r="I3" s="3"/>
      <c r="J3" s="3" t="s">
        <v>0</v>
      </c>
      <c r="K3" s="3"/>
      <c r="L3" s="3"/>
      <c r="M3" s="3" t="s">
        <v>0</v>
      </c>
      <c r="N3" s="3"/>
      <c r="O3" s="3"/>
    </row>
    <row r="4" spans="1:15" ht="18" thickTop="1" thickBot="1" x14ac:dyDescent="0.35">
      <c r="A4" s="3" t="s">
        <v>3</v>
      </c>
      <c r="B4" s="3"/>
      <c r="C4" s="3"/>
      <c r="D4" s="3" t="s">
        <v>4</v>
      </c>
      <c r="E4" s="3"/>
      <c r="F4" s="3"/>
      <c r="G4" s="3" t="s">
        <v>7</v>
      </c>
      <c r="H4" s="3"/>
      <c r="I4" s="3"/>
      <c r="J4" s="3" t="s">
        <v>8</v>
      </c>
      <c r="K4" s="3"/>
      <c r="L4" s="3"/>
      <c r="M4" s="3" t="s">
        <v>9</v>
      </c>
      <c r="N4" s="3"/>
      <c r="O4" s="3"/>
    </row>
    <row r="5" spans="1:15" ht="18" thickTop="1" thickBot="1" x14ac:dyDescent="0.35">
      <c r="A5" s="3" t="s">
        <v>16</v>
      </c>
      <c r="B5" s="3"/>
      <c r="C5" s="3"/>
      <c r="D5" s="3" t="s">
        <v>25</v>
      </c>
      <c r="E5" s="3"/>
      <c r="F5" s="3"/>
      <c r="G5" s="3" t="s">
        <v>31</v>
      </c>
      <c r="H5" s="3"/>
      <c r="I5" s="3"/>
      <c r="J5" s="3" t="s">
        <v>37</v>
      </c>
      <c r="K5" s="3"/>
      <c r="L5" s="3"/>
      <c r="M5" s="3" t="s">
        <v>43</v>
      </c>
      <c r="N5" s="3"/>
      <c r="O5" s="3"/>
    </row>
    <row r="6" spans="1:15" ht="18" thickTop="1" thickBot="1" x14ac:dyDescent="0.35">
      <c r="A6" s="3" t="s">
        <v>17</v>
      </c>
      <c r="B6" s="3"/>
      <c r="C6" s="3"/>
      <c r="D6" s="3" t="s">
        <v>26</v>
      </c>
      <c r="E6" s="3"/>
      <c r="F6" s="3"/>
      <c r="G6" s="3" t="s">
        <v>32</v>
      </c>
      <c r="H6" s="3"/>
      <c r="I6" s="3"/>
      <c r="J6" s="3" t="s">
        <v>38</v>
      </c>
      <c r="K6" s="3"/>
      <c r="L6" s="3"/>
      <c r="M6" s="3" t="s">
        <v>44</v>
      </c>
      <c r="N6" s="3"/>
      <c r="O6" s="3"/>
    </row>
    <row r="7" spans="1:15" ht="18" thickTop="1" thickBo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" thickTop="1" thickBo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" thickTop="1" thickBo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" thickTop="1" thickBot="1" x14ac:dyDescent="0.35">
      <c r="A10" s="3" t="s">
        <v>2</v>
      </c>
      <c r="B10" s="3"/>
      <c r="C10" s="3"/>
      <c r="D10" s="3" t="s">
        <v>2</v>
      </c>
      <c r="E10" s="3"/>
      <c r="F10" s="3"/>
      <c r="G10" s="3" t="s">
        <v>2</v>
      </c>
      <c r="H10" s="3"/>
      <c r="I10" s="3"/>
      <c r="J10" s="3" t="s">
        <v>2</v>
      </c>
      <c r="K10" s="3"/>
      <c r="L10" s="3"/>
      <c r="M10" s="3" t="s">
        <v>2</v>
      </c>
      <c r="N10" s="3"/>
      <c r="O10" s="3"/>
    </row>
    <row r="11" spans="1:15" ht="18" thickTop="1" thickBot="1" x14ac:dyDescent="0.35">
      <c r="A11" s="3" t="s">
        <v>1</v>
      </c>
      <c r="B11" s="3"/>
      <c r="C11" s="3"/>
      <c r="D11" s="3" t="s">
        <v>4</v>
      </c>
      <c r="E11" s="3"/>
      <c r="F11" s="3"/>
      <c r="G11" s="3" t="s">
        <v>7</v>
      </c>
      <c r="H11" s="3"/>
      <c r="I11" s="3"/>
      <c r="J11" s="3" t="s">
        <v>8</v>
      </c>
      <c r="K11" s="3"/>
      <c r="L11" s="3"/>
      <c r="M11" s="3" t="s">
        <v>9</v>
      </c>
      <c r="N11" s="3"/>
      <c r="O11" s="3"/>
    </row>
    <row r="12" spans="1:15" ht="18" thickTop="1" thickBot="1" x14ac:dyDescent="0.35">
      <c r="A12" s="3" t="s">
        <v>21</v>
      </c>
      <c r="B12" s="3"/>
      <c r="C12" s="3"/>
      <c r="D12" s="3" t="s">
        <v>27</v>
      </c>
      <c r="E12" s="3"/>
      <c r="F12" s="3"/>
      <c r="G12" s="3" t="s">
        <v>33</v>
      </c>
      <c r="H12" s="3"/>
      <c r="I12" s="3"/>
      <c r="J12" s="3" t="s">
        <v>39</v>
      </c>
      <c r="K12" s="3"/>
      <c r="L12" s="3"/>
      <c r="M12" s="3" t="s">
        <v>45</v>
      </c>
      <c r="N12" s="3"/>
      <c r="O12" s="3"/>
    </row>
    <row r="13" spans="1:15" ht="18" thickTop="1" thickBot="1" x14ac:dyDescent="0.35">
      <c r="A13" s="3" t="s">
        <v>22</v>
      </c>
      <c r="B13" s="3"/>
      <c r="C13" s="3"/>
      <c r="D13" s="3" t="s">
        <v>28</v>
      </c>
      <c r="E13" s="3"/>
      <c r="F13" s="3"/>
      <c r="G13" s="3" t="s">
        <v>34</v>
      </c>
      <c r="H13" s="3"/>
      <c r="I13" s="3"/>
      <c r="J13" s="3" t="s">
        <v>40</v>
      </c>
      <c r="K13" s="3"/>
      <c r="L13" s="3"/>
      <c r="M13" s="3" t="s">
        <v>46</v>
      </c>
      <c r="N13" s="3"/>
      <c r="O13" s="3"/>
    </row>
    <row r="14" spans="1:15" ht="18" thickTop="1" thickBo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8" thickTop="1" thickBo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8" thickTop="1" thickBo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21" ht="18" thickTop="1" thickBot="1" x14ac:dyDescent="0.35">
      <c r="A17" s="3" t="s">
        <v>6</v>
      </c>
      <c r="B17" s="3"/>
      <c r="C17" s="3"/>
      <c r="D17" s="3" t="s">
        <v>6</v>
      </c>
      <c r="E17" s="3"/>
      <c r="F17" s="3"/>
      <c r="G17" s="3" t="s">
        <v>5</v>
      </c>
      <c r="H17" s="3"/>
      <c r="I17" s="3"/>
      <c r="J17" s="3" t="s">
        <v>5</v>
      </c>
      <c r="K17" s="3"/>
      <c r="L17" s="3"/>
      <c r="M17" s="3" t="s">
        <v>5</v>
      </c>
      <c r="N17" s="3"/>
      <c r="O17" s="3"/>
    </row>
    <row r="18" spans="1:21" ht="18" thickTop="1" thickBot="1" x14ac:dyDescent="0.35">
      <c r="A18" s="3" t="s">
        <v>1</v>
      </c>
      <c r="B18" s="3"/>
      <c r="C18" s="3"/>
      <c r="D18" s="3" t="s">
        <v>4</v>
      </c>
      <c r="E18" s="3"/>
      <c r="F18" s="3"/>
      <c r="G18" s="3" t="s">
        <v>7</v>
      </c>
      <c r="H18" s="3"/>
      <c r="I18" s="3"/>
      <c r="J18" s="3" t="s">
        <v>8</v>
      </c>
      <c r="K18" s="3"/>
      <c r="L18" s="3"/>
      <c r="M18" s="3" t="s">
        <v>9</v>
      </c>
      <c r="N18" s="3"/>
      <c r="O18" s="3"/>
    </row>
    <row r="19" spans="1:21" ht="18" thickTop="1" thickBot="1" x14ac:dyDescent="0.35">
      <c r="A19" s="3" t="s">
        <v>23</v>
      </c>
      <c r="B19" s="3"/>
      <c r="C19" s="3"/>
      <c r="D19" s="3" t="s">
        <v>29</v>
      </c>
      <c r="E19" s="3"/>
      <c r="F19" s="3"/>
      <c r="G19" s="3" t="s">
        <v>35</v>
      </c>
      <c r="H19" s="3"/>
      <c r="I19" s="3"/>
      <c r="J19" s="3" t="s">
        <v>41</v>
      </c>
      <c r="K19" s="3"/>
      <c r="L19" s="3"/>
      <c r="M19" s="3" t="s">
        <v>47</v>
      </c>
      <c r="N19" s="3"/>
      <c r="O19" s="3"/>
    </row>
    <row r="20" spans="1:21" ht="18" thickTop="1" thickBot="1" x14ac:dyDescent="0.35">
      <c r="A20" s="3" t="s">
        <v>24</v>
      </c>
      <c r="B20" s="3"/>
      <c r="C20" s="3"/>
      <c r="D20" s="3" t="s">
        <v>30</v>
      </c>
      <c r="E20" s="3"/>
      <c r="F20" s="3"/>
      <c r="G20" s="3" t="s">
        <v>36</v>
      </c>
      <c r="H20" s="3"/>
      <c r="I20" s="3"/>
      <c r="J20" s="3" t="s">
        <v>42</v>
      </c>
      <c r="K20" s="3"/>
      <c r="L20" s="3"/>
      <c r="M20" s="3" t="s">
        <v>48</v>
      </c>
      <c r="N20" s="3"/>
      <c r="O20" s="3"/>
    </row>
    <row r="21" spans="1:21" ht="17.25" thickTop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2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21" ht="17.25" thickBot="1" x14ac:dyDescent="0.35">
      <c r="A23" s="3">
        <v>32000</v>
      </c>
      <c r="B23" s="3"/>
      <c r="C23" s="3"/>
      <c r="D23" s="3">
        <v>64000</v>
      </c>
      <c r="E23" s="3"/>
      <c r="F23" s="3"/>
      <c r="G23" s="3">
        <v>128000</v>
      </c>
      <c r="H23" s="3"/>
      <c r="I23" s="3"/>
      <c r="J23" s="3">
        <v>256000</v>
      </c>
      <c r="K23" s="3"/>
      <c r="L23" s="3"/>
      <c r="M23" s="3">
        <v>5000</v>
      </c>
      <c r="N23" s="3"/>
      <c r="O23" s="3"/>
      <c r="Q23" s="1">
        <v>10000</v>
      </c>
      <c r="U23" s="1">
        <v>15000</v>
      </c>
    </row>
    <row r="24" spans="1:21" ht="18" thickTop="1" thickBo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1" ht="18" thickTop="1" thickBot="1" x14ac:dyDescent="0.35">
      <c r="A25" s="3" t="s">
        <v>0</v>
      </c>
      <c r="B25" s="3"/>
      <c r="C25" s="3"/>
      <c r="D25" s="3" t="s">
        <v>0</v>
      </c>
      <c r="E25" s="3"/>
      <c r="F25" s="3"/>
      <c r="G25" s="3" t="s">
        <v>0</v>
      </c>
      <c r="H25" s="3"/>
      <c r="I25" s="3"/>
      <c r="J25" s="3" t="s">
        <v>0</v>
      </c>
      <c r="K25" s="3"/>
      <c r="L25" s="3"/>
      <c r="M25" s="3" t="s">
        <v>0</v>
      </c>
      <c r="N25" s="3"/>
      <c r="O25" s="3"/>
      <c r="Q25" s="1" t="s">
        <v>0</v>
      </c>
      <c r="U25" s="1" t="s">
        <v>0</v>
      </c>
    </row>
    <row r="26" spans="1:21" ht="18" thickTop="1" thickBot="1" x14ac:dyDescent="0.35">
      <c r="A26" s="3" t="s">
        <v>10</v>
      </c>
      <c r="B26" s="3"/>
      <c r="C26" s="3"/>
      <c r="D26" s="3" t="s">
        <v>11</v>
      </c>
      <c r="E26" s="3"/>
      <c r="F26" s="3"/>
      <c r="G26" s="3" t="s">
        <v>12</v>
      </c>
      <c r="H26" s="3"/>
      <c r="I26" s="3"/>
      <c r="J26" s="3" t="s">
        <v>77</v>
      </c>
      <c r="K26" s="3"/>
      <c r="L26" s="3"/>
      <c r="M26" s="3" t="s">
        <v>78</v>
      </c>
      <c r="N26" s="3"/>
      <c r="O26" s="3"/>
      <c r="Q26" s="1" t="s">
        <v>79</v>
      </c>
      <c r="U26" s="1" t="s">
        <v>80</v>
      </c>
    </row>
    <row r="27" spans="1:21" ht="18" thickTop="1" thickBot="1" x14ac:dyDescent="0.35">
      <c r="A27" s="3" t="s">
        <v>49</v>
      </c>
      <c r="B27" s="3"/>
      <c r="C27" s="3"/>
      <c r="D27" s="3" t="s">
        <v>55</v>
      </c>
      <c r="E27" s="3"/>
      <c r="F27" s="3"/>
      <c r="G27" s="3" t="s">
        <v>61</v>
      </c>
      <c r="H27" s="3"/>
      <c r="I27" s="3"/>
      <c r="J27" s="3" t="s">
        <v>99</v>
      </c>
      <c r="K27" s="3"/>
      <c r="L27" s="3"/>
      <c r="M27" s="3" t="s">
        <v>87</v>
      </c>
      <c r="N27" s="3"/>
      <c r="O27" s="3"/>
      <c r="Q27" s="1" t="s">
        <v>81</v>
      </c>
      <c r="U27" s="1" t="s">
        <v>93</v>
      </c>
    </row>
    <row r="28" spans="1:21" ht="18" thickTop="1" thickBot="1" x14ac:dyDescent="0.35">
      <c r="A28" s="3" t="s">
        <v>50</v>
      </c>
      <c r="B28" s="3"/>
      <c r="C28" s="3"/>
      <c r="D28" s="3" t="s">
        <v>56</v>
      </c>
      <c r="E28" s="3"/>
      <c r="F28" s="3"/>
      <c r="G28" s="3" t="s">
        <v>62</v>
      </c>
      <c r="H28" s="3"/>
      <c r="I28" s="3"/>
      <c r="J28" s="3" t="s">
        <v>100</v>
      </c>
      <c r="K28" s="3"/>
      <c r="L28" s="3"/>
      <c r="M28" s="3" t="s">
        <v>88</v>
      </c>
      <c r="N28" s="3"/>
      <c r="O28" s="3"/>
      <c r="Q28" s="1" t="s">
        <v>82</v>
      </c>
      <c r="U28" s="1" t="s">
        <v>95</v>
      </c>
    </row>
    <row r="29" spans="1:21" ht="18" thickTop="1" thickBo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21" ht="18" thickTop="1" thickBo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1" ht="18" thickTop="1" thickBo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21" ht="18" thickTop="1" thickBot="1" x14ac:dyDescent="0.35">
      <c r="A32" s="3" t="s">
        <v>2</v>
      </c>
      <c r="B32" s="3"/>
      <c r="C32" s="3"/>
      <c r="D32" s="3" t="s">
        <v>2</v>
      </c>
      <c r="E32" s="3"/>
      <c r="F32" s="3"/>
      <c r="G32" s="3" t="s">
        <v>2</v>
      </c>
      <c r="H32" s="3"/>
      <c r="I32" s="3"/>
      <c r="J32" s="3" t="s">
        <v>2</v>
      </c>
      <c r="K32" s="3"/>
      <c r="L32" s="3"/>
      <c r="M32" s="3" t="s">
        <v>2</v>
      </c>
      <c r="N32" s="3"/>
      <c r="O32" s="3"/>
      <c r="Q32" s="1" t="s">
        <v>2</v>
      </c>
      <c r="U32" s="1" t="s">
        <v>2</v>
      </c>
    </row>
    <row r="33" spans="1:21" ht="18" thickTop="1" thickBot="1" x14ac:dyDescent="0.35">
      <c r="A33" s="3" t="s">
        <v>10</v>
      </c>
      <c r="B33" s="3"/>
      <c r="C33" s="3"/>
      <c r="D33" s="3" t="s">
        <v>11</v>
      </c>
      <c r="E33" s="3"/>
      <c r="F33" s="3"/>
      <c r="G33" s="3" t="s">
        <v>12</v>
      </c>
      <c r="H33" s="3"/>
      <c r="I33" s="3"/>
      <c r="J33" s="3" t="s">
        <v>77</v>
      </c>
      <c r="K33" s="3"/>
      <c r="L33" s="3"/>
      <c r="M33" s="3" t="s">
        <v>78</v>
      </c>
      <c r="N33" s="3"/>
      <c r="O33" s="3"/>
      <c r="Q33" s="1" t="s">
        <v>79</v>
      </c>
      <c r="U33" s="1" t="s">
        <v>80</v>
      </c>
    </row>
    <row r="34" spans="1:21" ht="18" thickTop="1" thickBot="1" x14ac:dyDescent="0.35">
      <c r="A34" s="3" t="s">
        <v>51</v>
      </c>
      <c r="B34" s="3"/>
      <c r="C34" s="3"/>
      <c r="D34" s="3" t="s">
        <v>57</v>
      </c>
      <c r="E34" s="3"/>
      <c r="F34" s="3"/>
      <c r="G34" s="3" t="s">
        <v>63</v>
      </c>
      <c r="H34" s="3"/>
      <c r="I34" s="3"/>
      <c r="J34" s="3" t="s">
        <v>101</v>
      </c>
      <c r="K34" s="3"/>
      <c r="L34" s="3"/>
      <c r="M34" s="3" t="s">
        <v>89</v>
      </c>
      <c r="N34" s="3"/>
      <c r="O34" s="3"/>
      <c r="Q34" s="1" t="s">
        <v>83</v>
      </c>
      <c r="U34" s="1" t="s">
        <v>94</v>
      </c>
    </row>
    <row r="35" spans="1:21" ht="18" thickTop="1" thickBot="1" x14ac:dyDescent="0.35">
      <c r="A35" s="3" t="s">
        <v>52</v>
      </c>
      <c r="B35" s="3"/>
      <c r="C35" s="3"/>
      <c r="D35" s="3" t="s">
        <v>58</v>
      </c>
      <c r="E35" s="3"/>
      <c r="F35" s="3"/>
      <c r="G35" s="3" t="s">
        <v>64</v>
      </c>
      <c r="H35" s="3"/>
      <c r="I35" s="3"/>
      <c r="J35" s="3" t="s">
        <v>102</v>
      </c>
      <c r="K35" s="3"/>
      <c r="L35" s="3"/>
      <c r="M35" s="3" t="s">
        <v>90</v>
      </c>
      <c r="N35" s="3"/>
      <c r="O35" s="3"/>
      <c r="Q35" s="1" t="s">
        <v>84</v>
      </c>
      <c r="U35" s="1" t="s">
        <v>96</v>
      </c>
    </row>
    <row r="36" spans="1:21" ht="18" thickTop="1" thickBo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21" ht="18" thickTop="1" thickBo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21" ht="18" thickTop="1" thickBo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21" ht="18" thickTop="1" thickBot="1" x14ac:dyDescent="0.35">
      <c r="A39" s="3" t="s">
        <v>5</v>
      </c>
      <c r="B39" s="3"/>
      <c r="C39" s="3"/>
      <c r="D39" s="3" t="s">
        <v>5</v>
      </c>
      <c r="E39" s="3"/>
      <c r="F39" s="3"/>
      <c r="G39" s="3" t="s">
        <v>5</v>
      </c>
      <c r="H39" s="3"/>
      <c r="I39" s="3"/>
      <c r="J39" s="3" t="s">
        <v>5</v>
      </c>
      <c r="K39" s="3"/>
      <c r="L39" s="3"/>
      <c r="M39" s="3" t="s">
        <v>5</v>
      </c>
      <c r="N39" s="3"/>
      <c r="O39" s="3"/>
      <c r="Q39" s="1" t="s">
        <v>5</v>
      </c>
      <c r="U39" s="1" t="s">
        <v>5</v>
      </c>
    </row>
    <row r="40" spans="1:21" ht="18" thickTop="1" thickBot="1" x14ac:dyDescent="0.35">
      <c r="A40" s="3" t="s">
        <v>10</v>
      </c>
      <c r="B40" s="3"/>
      <c r="C40" s="3"/>
      <c r="D40" s="3" t="s">
        <v>11</v>
      </c>
      <c r="E40" s="3"/>
      <c r="F40" s="3"/>
      <c r="G40" s="3" t="s">
        <v>12</v>
      </c>
      <c r="H40" s="3"/>
      <c r="I40" s="3"/>
      <c r="J40" s="3" t="s">
        <v>77</v>
      </c>
      <c r="K40" s="3"/>
      <c r="L40" s="3"/>
      <c r="M40" s="3" t="s">
        <v>78</v>
      </c>
      <c r="N40" s="3"/>
      <c r="O40" s="3"/>
      <c r="Q40" s="1" t="s">
        <v>79</v>
      </c>
      <c r="U40" s="1" t="s">
        <v>80</v>
      </c>
    </row>
    <row r="41" spans="1:21" ht="18" thickTop="1" thickBot="1" x14ac:dyDescent="0.35">
      <c r="A41" s="3" t="s">
        <v>53</v>
      </c>
      <c r="B41" s="3"/>
      <c r="C41" s="3"/>
      <c r="D41" s="3" t="s">
        <v>59</v>
      </c>
      <c r="E41" s="3"/>
      <c r="F41" s="3"/>
      <c r="G41" s="3" t="s">
        <v>65</v>
      </c>
      <c r="H41" s="3"/>
      <c r="I41" s="3"/>
      <c r="J41" s="3" t="s">
        <v>103</v>
      </c>
      <c r="K41" s="3"/>
      <c r="L41" s="3"/>
      <c r="M41" s="3" t="s">
        <v>91</v>
      </c>
      <c r="N41" s="3"/>
      <c r="O41" s="3"/>
      <c r="Q41" s="1" t="s">
        <v>85</v>
      </c>
      <c r="U41" s="1" t="s">
        <v>97</v>
      </c>
    </row>
    <row r="42" spans="1:21" ht="18" thickTop="1" thickBot="1" x14ac:dyDescent="0.35">
      <c r="A42" s="3" t="s">
        <v>54</v>
      </c>
      <c r="B42" s="3"/>
      <c r="C42" s="3"/>
      <c r="D42" s="3" t="s">
        <v>60</v>
      </c>
      <c r="E42" s="3"/>
      <c r="F42" s="3"/>
      <c r="G42" s="3" t="s">
        <v>66</v>
      </c>
      <c r="H42" s="3"/>
      <c r="I42" s="3"/>
      <c r="J42" s="3" t="s">
        <v>104</v>
      </c>
      <c r="K42" s="3"/>
      <c r="L42" s="3"/>
      <c r="M42" s="3" t="s">
        <v>92</v>
      </c>
      <c r="N42" s="3"/>
      <c r="O42" s="3"/>
      <c r="Q42" s="1" t="s">
        <v>86</v>
      </c>
      <c r="U42" s="1" t="s">
        <v>98</v>
      </c>
    </row>
    <row r="43" spans="1:21" ht="17.25" thickTop="1" x14ac:dyDescent="0.3"/>
    <row r="45" spans="1:21" x14ac:dyDescent="0.3">
      <c r="A45" s="2" t="s">
        <v>18</v>
      </c>
      <c r="B45" s="2"/>
      <c r="C45" s="2"/>
      <c r="E45" s="2" t="s">
        <v>19</v>
      </c>
      <c r="F45" s="2"/>
      <c r="G45" s="2"/>
      <c r="I45" s="2" t="s">
        <v>20</v>
      </c>
      <c r="J45" s="2"/>
      <c r="K45" s="2"/>
    </row>
    <row r="46" spans="1:21" x14ac:dyDescent="0.3">
      <c r="A46" s="2" t="s">
        <v>13</v>
      </c>
      <c r="B46" s="2" t="s">
        <v>14</v>
      </c>
      <c r="C46" s="2" t="s">
        <v>15</v>
      </c>
      <c r="E46" s="2" t="s">
        <v>13</v>
      </c>
      <c r="F46" s="2" t="s">
        <v>14</v>
      </c>
      <c r="G46" s="2" t="s">
        <v>15</v>
      </c>
      <c r="I46" s="2" t="s">
        <v>13</v>
      </c>
      <c r="J46" s="2" t="s">
        <v>14</v>
      </c>
      <c r="K46" s="2" t="s">
        <v>15</v>
      </c>
    </row>
    <row r="47" spans="1:21" x14ac:dyDescent="0.3">
      <c r="A47" s="2">
        <v>1000</v>
      </c>
      <c r="B47" s="2">
        <v>0.86260000000000003</v>
      </c>
      <c r="C47" s="2">
        <v>0.70030000000000003</v>
      </c>
      <c r="E47" s="2">
        <v>1000</v>
      </c>
      <c r="F47" s="2">
        <v>1.0325</v>
      </c>
      <c r="G47" s="2">
        <v>2E-3</v>
      </c>
      <c r="I47" s="2">
        <v>1000</v>
      </c>
      <c r="J47" s="2">
        <v>0.6361</v>
      </c>
      <c r="K47" s="2">
        <v>1.0998000000000001</v>
      </c>
    </row>
    <row r="48" spans="1:21" x14ac:dyDescent="0.3">
      <c r="A48" s="2">
        <v>2000</v>
      </c>
      <c r="B48" s="2">
        <v>3.0278999999999998</v>
      </c>
      <c r="C48" s="2">
        <v>2.4186000000000001</v>
      </c>
      <c r="E48" s="2">
        <v>2000</v>
      </c>
      <c r="F48" s="2">
        <v>2.9948999999999999</v>
      </c>
      <c r="G48" s="2">
        <v>3.2000000000000002E-3</v>
      </c>
      <c r="I48" s="2">
        <v>2000</v>
      </c>
      <c r="J48" s="2">
        <v>3.2241</v>
      </c>
      <c r="K48" s="2">
        <v>2.1716000000000002</v>
      </c>
    </row>
    <row r="49" spans="1:11" x14ac:dyDescent="0.3">
      <c r="A49" s="2">
        <v>4000</v>
      </c>
      <c r="B49" s="2">
        <v>7.2435</v>
      </c>
      <c r="C49" s="2">
        <v>5.2759</v>
      </c>
      <c r="E49" s="2">
        <v>4000</v>
      </c>
      <c r="F49" s="2">
        <v>14.5204</v>
      </c>
      <c r="G49" s="2">
        <v>6.1000000000000004E-3</v>
      </c>
      <c r="I49" s="2">
        <v>4000</v>
      </c>
      <c r="J49" s="2">
        <v>9.4702000000000002</v>
      </c>
      <c r="K49" s="2">
        <v>8.6060999999999996</v>
      </c>
    </row>
    <row r="50" spans="1:11" x14ac:dyDescent="0.3">
      <c r="A50" s="2">
        <v>5000</v>
      </c>
      <c r="B50" s="2">
        <v>10.992900000000001</v>
      </c>
      <c r="C50" s="2">
        <v>8.8813999999999993</v>
      </c>
      <c r="E50" s="2">
        <v>5000</v>
      </c>
      <c r="F50" s="2">
        <v>20.0899</v>
      </c>
      <c r="G50" s="2">
        <v>7.1999999999999998E-3</v>
      </c>
      <c r="I50" s="2">
        <v>5000</v>
      </c>
      <c r="J50" s="2">
        <v>13.750999999999999</v>
      </c>
      <c r="K50" s="2">
        <v>12.742100000000001</v>
      </c>
    </row>
    <row r="51" spans="1:11" x14ac:dyDescent="0.3">
      <c r="A51" s="2">
        <v>8000</v>
      </c>
      <c r="B51" s="2">
        <v>25.505199999999999</v>
      </c>
      <c r="C51" s="2">
        <v>19.936499999999999</v>
      </c>
      <c r="E51" s="2">
        <v>8000</v>
      </c>
      <c r="F51" s="2">
        <v>53.217199999999998</v>
      </c>
      <c r="G51" s="2">
        <v>1.1900000000000001E-2</v>
      </c>
      <c r="I51" s="2">
        <v>8000</v>
      </c>
      <c r="J51" s="2">
        <v>36.610199999999999</v>
      </c>
      <c r="K51" s="2">
        <v>32.941600000000001</v>
      </c>
    </row>
    <row r="52" spans="1:11" x14ac:dyDescent="0.3">
      <c r="A52" s="2">
        <v>10000</v>
      </c>
      <c r="B52" s="2">
        <v>42.646099999999997</v>
      </c>
      <c r="C52" s="2">
        <v>28.490200000000002</v>
      </c>
      <c r="E52" s="2">
        <v>10000</v>
      </c>
      <c r="F52" s="2">
        <v>77.169799999999995</v>
      </c>
      <c r="G52" s="2">
        <v>1.5299999999999999E-2</v>
      </c>
      <c r="I52" s="2">
        <v>10000</v>
      </c>
      <c r="J52" s="2">
        <v>57.152900000000002</v>
      </c>
      <c r="K52" s="2">
        <v>51.85</v>
      </c>
    </row>
    <row r="53" spans="1:11" x14ac:dyDescent="0.3">
      <c r="A53" s="2">
        <v>15000</v>
      </c>
      <c r="B53" s="2">
        <v>87.357500000000002</v>
      </c>
      <c r="C53" s="2">
        <v>60.469499999999996</v>
      </c>
      <c r="E53" s="2">
        <v>15000</v>
      </c>
      <c r="F53" s="2">
        <v>164.5008</v>
      </c>
      <c r="G53" s="2">
        <v>2.1100000000000001E-2</v>
      </c>
      <c r="I53" s="2">
        <v>15000</v>
      </c>
      <c r="J53" s="2">
        <v>135.30269999999999</v>
      </c>
      <c r="K53" s="2">
        <v>111.6644</v>
      </c>
    </row>
    <row r="54" spans="1:11" x14ac:dyDescent="0.3">
      <c r="A54" s="2">
        <v>16000</v>
      </c>
      <c r="B54" s="2">
        <v>102.5004</v>
      </c>
      <c r="C54" s="2">
        <v>69.941699999999997</v>
      </c>
      <c r="E54" s="2">
        <v>16000</v>
      </c>
      <c r="F54" s="2">
        <v>183.66059999999999</v>
      </c>
      <c r="G54" s="2">
        <v>2.3699999999999999E-2</v>
      </c>
      <c r="I54" s="2">
        <v>16000</v>
      </c>
      <c r="J54" s="2">
        <v>145.6395</v>
      </c>
      <c r="K54" s="2">
        <v>132.96340000000001</v>
      </c>
    </row>
    <row r="55" spans="1:11" x14ac:dyDescent="0.3">
      <c r="A55" s="2">
        <v>32000</v>
      </c>
      <c r="B55" s="2">
        <v>395.53519999999997</v>
      </c>
      <c r="C55" s="2">
        <v>271.66899999999998</v>
      </c>
      <c r="E55" s="2">
        <v>32000</v>
      </c>
      <c r="F55" s="2">
        <v>761.73990000000003</v>
      </c>
      <c r="G55" s="2">
        <v>8.1299999999999997E-2</v>
      </c>
      <c r="I55" s="2">
        <v>32000</v>
      </c>
      <c r="J55" s="2">
        <v>582.25909999999999</v>
      </c>
      <c r="K55" s="2">
        <v>514.17470000000003</v>
      </c>
    </row>
    <row r="56" spans="1:11" x14ac:dyDescent="0.3">
      <c r="A56" s="2">
        <v>64000</v>
      </c>
      <c r="B56" s="2">
        <v>1647.6356000000001</v>
      </c>
      <c r="C56" s="2">
        <v>1038.0461</v>
      </c>
      <c r="E56" s="2">
        <v>64000</v>
      </c>
      <c r="F56" s="2">
        <v>3083.2289000000001</v>
      </c>
      <c r="G56" s="2">
        <v>9.3200000000000005E-2</v>
      </c>
      <c r="I56" s="2">
        <v>64000</v>
      </c>
      <c r="J56" s="2">
        <v>2307.3020999999999</v>
      </c>
      <c r="K56" s="2">
        <v>2096.8153000000002</v>
      </c>
    </row>
    <row r="57" spans="1:11" x14ac:dyDescent="0.3">
      <c r="A57" s="2">
        <v>128000</v>
      </c>
      <c r="B57" s="2">
        <v>6449.5387000000001</v>
      </c>
      <c r="C57" s="2">
        <v>4179.1432000000004</v>
      </c>
      <c r="E57" s="2">
        <v>128000</v>
      </c>
      <c r="F57" s="2">
        <v>13345.0816</v>
      </c>
      <c r="G57" s="2">
        <v>0.27579999999999999</v>
      </c>
      <c r="I57" s="2">
        <v>128000</v>
      </c>
      <c r="J57" s="2">
        <v>9953.6134000000002</v>
      </c>
      <c r="K57" s="2">
        <v>8372.7314999999999</v>
      </c>
    </row>
    <row r="58" spans="1:11" x14ac:dyDescent="0.3">
      <c r="A58" s="2">
        <v>256000</v>
      </c>
      <c r="B58" s="2">
        <v>26101.4016999999</v>
      </c>
      <c r="C58" s="2">
        <v>16761.015299999999</v>
      </c>
      <c r="E58" s="2">
        <v>256000</v>
      </c>
      <c r="F58" s="2">
        <v>62985.170700000002</v>
      </c>
      <c r="G58" s="2">
        <v>0.45529999999999998</v>
      </c>
      <c r="I58" s="2">
        <v>256000</v>
      </c>
      <c r="J58" s="2">
        <v>55569.639999999898</v>
      </c>
      <c r="K58" s="2">
        <v>41101.481800000001</v>
      </c>
    </row>
    <row r="92" spans="1:11" x14ac:dyDescent="0.3">
      <c r="A92" s="2" t="s">
        <v>75</v>
      </c>
      <c r="B92" s="2"/>
      <c r="C92" s="2"/>
      <c r="E92" s="2" t="s">
        <v>76</v>
      </c>
      <c r="F92" s="2"/>
      <c r="G92" s="2"/>
      <c r="I92" s="2" t="s">
        <v>20</v>
      </c>
      <c r="J92" s="2"/>
      <c r="K92" s="2"/>
    </row>
    <row r="93" spans="1:11" x14ac:dyDescent="0.3">
      <c r="A93" s="2" t="s">
        <v>68</v>
      </c>
      <c r="B93" s="2" t="s">
        <v>73</v>
      </c>
      <c r="C93" s="2" t="s">
        <v>74</v>
      </c>
      <c r="E93" s="2" t="s">
        <v>68</v>
      </c>
      <c r="F93" s="2" t="s">
        <v>73</v>
      </c>
      <c r="G93" s="2" t="s">
        <v>74</v>
      </c>
      <c r="I93" s="2" t="s">
        <v>68</v>
      </c>
      <c r="J93" s="2" t="s">
        <v>73</v>
      </c>
      <c r="K93" s="2" t="s">
        <v>74</v>
      </c>
    </row>
    <row r="94" spans="1:11" x14ac:dyDescent="0.3">
      <c r="A94" s="2" t="s">
        <v>67</v>
      </c>
      <c r="B94" s="2">
        <f>B48/B47</f>
        <v>3.510201715743102</v>
      </c>
      <c r="C94" s="2">
        <f t="shared" ref="C94:C104" si="0">C48/C47</f>
        <v>3.453662715978866</v>
      </c>
      <c r="E94" s="2" t="s">
        <v>67</v>
      </c>
      <c r="F94" s="2">
        <f t="shared" ref="F94:G94" si="1">F48/F47</f>
        <v>2.900629539951574</v>
      </c>
      <c r="G94" s="2">
        <f t="shared" si="1"/>
        <v>1.6</v>
      </c>
      <c r="I94" s="2" t="s">
        <v>67</v>
      </c>
      <c r="J94" s="2">
        <f t="shared" ref="J94:K94" si="2">J48/J47</f>
        <v>5.0685426819682435</v>
      </c>
      <c r="K94" s="2">
        <f t="shared" si="2"/>
        <v>1.9745408256046553</v>
      </c>
    </row>
    <row r="95" spans="1:11" x14ac:dyDescent="0.3">
      <c r="A95" s="2" t="s">
        <v>69</v>
      </c>
      <c r="B95" s="2">
        <f t="shared" ref="B95:C95" si="3">B49/B48</f>
        <v>2.3922520558803133</v>
      </c>
      <c r="C95" s="2">
        <f t="shared" si="0"/>
        <v>2.1813859257421648</v>
      </c>
      <c r="E95" s="2" t="s">
        <v>69</v>
      </c>
      <c r="F95" s="2">
        <f t="shared" ref="F95:G95" si="4">F49/F48</f>
        <v>4.8483755718054029</v>
      </c>
      <c r="G95" s="2">
        <f t="shared" si="4"/>
        <v>1.90625</v>
      </c>
      <c r="I95" s="2" t="s">
        <v>69</v>
      </c>
      <c r="J95" s="2">
        <f t="shared" ref="J95:K95" si="5">J49/J48</f>
        <v>2.9373158400794019</v>
      </c>
      <c r="K95" s="2">
        <f t="shared" si="5"/>
        <v>3.9630226561060962</v>
      </c>
    </row>
    <row r="96" spans="1:11" x14ac:dyDescent="0.3">
      <c r="A96" s="2" t="s">
        <v>105</v>
      </c>
      <c r="B96" s="2">
        <f t="shared" ref="B96:C96" si="6">B50/B49</f>
        <v>1.5176226962103956</v>
      </c>
      <c r="C96" s="2">
        <f t="shared" si="0"/>
        <v>1.6833905115714853</v>
      </c>
      <c r="E96" s="2" t="s">
        <v>105</v>
      </c>
      <c r="F96" s="2">
        <f t="shared" ref="F96:G96" si="7">F50/F49</f>
        <v>1.3835638136690449</v>
      </c>
      <c r="G96" s="2">
        <f t="shared" si="7"/>
        <v>1.180327868852459</v>
      </c>
      <c r="I96" s="2" t="s">
        <v>105</v>
      </c>
      <c r="J96" s="2">
        <f t="shared" ref="J96:K96" si="8">J50/J49</f>
        <v>1.4520284682477667</v>
      </c>
      <c r="K96" s="2">
        <f t="shared" si="8"/>
        <v>1.48058934941495</v>
      </c>
    </row>
    <row r="97" spans="1:11" x14ac:dyDescent="0.3">
      <c r="A97" s="2" t="s">
        <v>106</v>
      </c>
      <c r="B97" s="2">
        <f t="shared" ref="B97:C97" si="9">B51/B50</f>
        <v>2.3201520981724566</v>
      </c>
      <c r="C97" s="2">
        <f t="shared" si="0"/>
        <v>2.2447474497263946</v>
      </c>
      <c r="E97" s="2" t="s">
        <v>106</v>
      </c>
      <c r="F97" s="2">
        <f t="shared" ref="F97:G97" si="10">F51/F50</f>
        <v>2.6489529564607088</v>
      </c>
      <c r="G97" s="2">
        <f t="shared" si="10"/>
        <v>1.6527777777777779</v>
      </c>
      <c r="I97" s="2" t="s">
        <v>106</v>
      </c>
      <c r="J97" s="2">
        <f t="shared" ref="J97:K97" si="11">J51/J50</f>
        <v>2.662366373354665</v>
      </c>
      <c r="K97" s="2">
        <f t="shared" si="11"/>
        <v>2.585256747317946</v>
      </c>
    </row>
    <row r="98" spans="1:11" x14ac:dyDescent="0.3">
      <c r="A98" s="2" t="s">
        <v>107</v>
      </c>
      <c r="B98" s="2">
        <f t="shared" ref="B98:C98" si="12">B52/B51</f>
        <v>1.6720551103304424</v>
      </c>
      <c r="C98" s="2">
        <f t="shared" si="0"/>
        <v>1.4290472249391821</v>
      </c>
      <c r="E98" s="2" t="s">
        <v>107</v>
      </c>
      <c r="F98" s="2">
        <f t="shared" ref="F98:G98" si="13">F52/F51</f>
        <v>1.4500913238577</v>
      </c>
      <c r="G98" s="2">
        <f t="shared" si="13"/>
        <v>1.2857142857142856</v>
      </c>
      <c r="I98" s="2" t="s">
        <v>107</v>
      </c>
      <c r="J98" s="2">
        <f t="shared" ref="J98:K98" si="14">J52/J51</f>
        <v>1.5611195786966474</v>
      </c>
      <c r="K98" s="2">
        <f t="shared" si="14"/>
        <v>1.5739976200305996</v>
      </c>
    </row>
    <row r="99" spans="1:11" x14ac:dyDescent="0.3">
      <c r="A99" s="2" t="s">
        <v>108</v>
      </c>
      <c r="B99" s="2">
        <f t="shared" ref="B99:C99" si="15">B53/B52</f>
        <v>2.0484288129512431</v>
      </c>
      <c r="C99" s="2">
        <f t="shared" si="0"/>
        <v>2.1224666727506296</v>
      </c>
      <c r="E99" s="2" t="s">
        <v>108</v>
      </c>
      <c r="F99" s="2">
        <f t="shared" ref="F99:G99" si="16">F53/F52</f>
        <v>2.1316732711501132</v>
      </c>
      <c r="G99" s="2">
        <f t="shared" si="16"/>
        <v>1.3790849673202616</v>
      </c>
      <c r="I99" s="2" t="s">
        <v>108</v>
      </c>
      <c r="J99" s="2">
        <f t="shared" ref="J99:K99" si="17">J53/J52</f>
        <v>2.3673811827571303</v>
      </c>
      <c r="K99" s="2">
        <f t="shared" si="17"/>
        <v>2.1536046287367405</v>
      </c>
    </row>
    <row r="100" spans="1:11" x14ac:dyDescent="0.3">
      <c r="A100" s="2" t="s">
        <v>109</v>
      </c>
      <c r="B100" s="2">
        <f t="shared" ref="B100:C100" si="18">B54/B53</f>
        <v>1.1733440173997653</v>
      </c>
      <c r="C100" s="2">
        <f t="shared" si="0"/>
        <v>1.1566442586758614</v>
      </c>
      <c r="E100" s="2" t="s">
        <v>109</v>
      </c>
      <c r="F100" s="2">
        <f t="shared" ref="F100:G100" si="19">F54/F53</f>
        <v>1.1164723818972309</v>
      </c>
      <c r="G100" s="2">
        <f t="shared" si="19"/>
        <v>1.1232227488151658</v>
      </c>
      <c r="I100" s="2" t="s">
        <v>109</v>
      </c>
      <c r="J100" s="2">
        <f t="shared" ref="J100:K100" si="20">J54/J53</f>
        <v>1.0763975885181893</v>
      </c>
      <c r="K100" s="2">
        <f t="shared" si="20"/>
        <v>1.1907411851942069</v>
      </c>
    </row>
    <row r="101" spans="1:11" x14ac:dyDescent="0.3">
      <c r="A101" s="2" t="s">
        <v>70</v>
      </c>
      <c r="B101" s="2">
        <f t="shared" ref="B101:C101" si="21">B55/B54</f>
        <v>3.8588649410148643</v>
      </c>
      <c r="C101" s="2">
        <f t="shared" si="0"/>
        <v>3.8842207152528463</v>
      </c>
      <c r="E101" s="2" t="s">
        <v>70</v>
      </c>
      <c r="F101" s="2">
        <f t="shared" ref="F101:G101" si="22">F55/F54</f>
        <v>4.1475411710513859</v>
      </c>
      <c r="G101" s="2">
        <f t="shared" si="22"/>
        <v>3.4303797468354431</v>
      </c>
      <c r="I101" s="2" t="s">
        <v>70</v>
      </c>
      <c r="J101" s="2">
        <f t="shared" ref="J101:K101" si="23">J55/J54</f>
        <v>3.9979476721631149</v>
      </c>
      <c r="K101" s="2">
        <f t="shared" si="23"/>
        <v>3.8670393506784575</v>
      </c>
    </row>
    <row r="102" spans="1:11" x14ac:dyDescent="0.3">
      <c r="A102" s="2" t="s">
        <v>71</v>
      </c>
      <c r="B102" s="2">
        <f t="shared" ref="B102:C102" si="24">B56/B55</f>
        <v>4.1655852627022831</v>
      </c>
      <c r="C102" s="2">
        <f t="shared" si="0"/>
        <v>3.8209957705884738</v>
      </c>
      <c r="E102" s="2" t="s">
        <v>71</v>
      </c>
      <c r="F102" s="2">
        <f t="shared" ref="F102:G102" si="25">F56/F55</f>
        <v>4.0476137589746841</v>
      </c>
      <c r="G102" s="2">
        <f t="shared" si="25"/>
        <v>1.1463714637146372</v>
      </c>
      <c r="I102" s="2" t="s">
        <v>71</v>
      </c>
      <c r="J102" s="2">
        <f t="shared" ref="J102:K102" si="26">J56/J55</f>
        <v>3.9626724597348497</v>
      </c>
      <c r="K102" s="2">
        <f t="shared" si="26"/>
        <v>4.0780211472870995</v>
      </c>
    </row>
    <row r="103" spans="1:11" x14ac:dyDescent="0.3">
      <c r="A103" s="2" t="s">
        <v>72</v>
      </c>
      <c r="B103" s="2">
        <f t="shared" ref="B103:C103" si="27">B57/B56</f>
        <v>3.914420579404815</v>
      </c>
      <c r="C103" s="2">
        <f t="shared" si="0"/>
        <v>4.0259707155587794</v>
      </c>
      <c r="E103" s="2" t="s">
        <v>72</v>
      </c>
      <c r="F103" s="2">
        <f t="shared" ref="F103:G103" si="28">F57/F56</f>
        <v>4.3282811730261086</v>
      </c>
      <c r="G103" s="2">
        <f t="shared" si="28"/>
        <v>2.9592274678111585</v>
      </c>
      <c r="I103" s="2" t="s">
        <v>72</v>
      </c>
      <c r="J103" s="2">
        <f t="shared" ref="J103:K103" si="29">J57/J56</f>
        <v>4.3139619211545819</v>
      </c>
      <c r="K103" s="2">
        <f t="shared" si="29"/>
        <v>3.9930705866177143</v>
      </c>
    </row>
    <row r="104" spans="1:11" x14ac:dyDescent="0.3">
      <c r="A104" s="2" t="s">
        <v>110</v>
      </c>
      <c r="B104" s="2">
        <f t="shared" ref="B104:C104" si="30">B58/B57</f>
        <v>4.0470183859816053</v>
      </c>
      <c r="C104" s="2">
        <f t="shared" si="0"/>
        <v>4.01063435682223</v>
      </c>
      <c r="E104" s="2" t="s">
        <v>110</v>
      </c>
      <c r="F104" s="2">
        <f t="shared" ref="F104:G104" si="31">F58/F57</f>
        <v>4.7197291547471698</v>
      </c>
      <c r="G104" s="2">
        <f t="shared" si="31"/>
        <v>1.6508339376359682</v>
      </c>
      <c r="I104" s="2" t="s">
        <v>110</v>
      </c>
      <c r="J104" s="2">
        <f t="shared" ref="J104:K104" si="32">J58/J57</f>
        <v>5.5828609939783167</v>
      </c>
      <c r="K104" s="2">
        <f t="shared" si="32"/>
        <v>4.9089692891740286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wonseok oh</dc:creator>
  <cp:lastModifiedBy>wonseok oh</cp:lastModifiedBy>
  <dcterms:created xsi:type="dcterms:W3CDTF">2026-09-12T15:01:00Z</dcterms:created>
  <dcterms:modified xsi:type="dcterms:W3CDTF">2026-09-21T14:37:17Z</dcterms:modified>
</cp:coreProperties>
</file>