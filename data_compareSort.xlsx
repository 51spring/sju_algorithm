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45E14EFD-378C-425F-9D8E-8DE4300C654E}" xr6:coauthVersionLast="47" xr6:coauthVersionMax="47" xr10:uidLastSave="{00000000-0000-0000-0000-000000000000}"/>
  <bookViews>
    <workbookView xWindow="18300" yWindow="2985" windowWidth="17670" windowHeight="14250" xr2:uid="{214B3055-B83F-4E0B-AC70-A79C0459B4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79" i="1" l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C79" i="1"/>
  <c r="C78" i="1"/>
  <c r="C77" i="1"/>
  <c r="C76" i="1"/>
  <c r="C75" i="1"/>
  <c r="C74" i="1"/>
  <c r="C73" i="1"/>
  <c r="B79" i="1"/>
  <c r="B78" i="1"/>
  <c r="B77" i="1"/>
  <c r="B76" i="1"/>
  <c r="B75" i="1"/>
  <c r="B74" i="1"/>
  <c r="B73" i="1"/>
</calcChain>
</file>

<file path=xl/sharedStrings.xml><?xml version="1.0" encoding="utf-8"?>
<sst xmlns="http://schemas.openxmlformats.org/spreadsheetml/2006/main" count="141" uniqueCount="79">
  <si>
    <t>A 실험 결과</t>
  </si>
  <si>
    <t>1000번 실행</t>
  </si>
  <si>
    <t>B 실험 결과</t>
  </si>
  <si>
    <t>1000번 실행</t>
    <phoneticPr fontId="3" type="noConversion"/>
  </si>
  <si>
    <t>2000번 실행</t>
  </si>
  <si>
    <t>C 실험 결과</t>
  </si>
  <si>
    <t>C 실험 결과</t>
    <phoneticPr fontId="3" type="noConversion"/>
  </si>
  <si>
    <t>4000번 실행</t>
  </si>
  <si>
    <t>8000번 실행</t>
  </si>
  <si>
    <t>16000번 실행</t>
  </si>
  <si>
    <t>32000번 실행</t>
  </si>
  <si>
    <t>64000번 실행</t>
  </si>
  <si>
    <t>128000번 실행</t>
  </si>
  <si>
    <t>n</t>
    <phoneticPr fontId="3" type="noConversion"/>
  </si>
  <si>
    <t>선택정렬(ms)</t>
    <phoneticPr fontId="3" type="noConversion"/>
  </si>
  <si>
    <t>삽입정렬(ms)</t>
    <phoneticPr fontId="3" type="noConversion"/>
  </si>
  <si>
    <t>선택정렬: 0.862600000000</t>
    <phoneticPr fontId="3" type="noConversion"/>
  </si>
  <si>
    <t>삽입정렬:     0.700300</t>
    <phoneticPr fontId="3" type="noConversion"/>
  </si>
  <si>
    <t>실험A</t>
    <phoneticPr fontId="3" type="noConversion"/>
  </si>
  <si>
    <t>실험B</t>
    <phoneticPr fontId="3" type="noConversion"/>
  </si>
  <si>
    <t>실험C</t>
    <phoneticPr fontId="3" type="noConversion"/>
  </si>
  <si>
    <t>선택정렬: 1.032500000000</t>
    <phoneticPr fontId="3" type="noConversion"/>
  </si>
  <si>
    <t>삽입정렬:     0.002000</t>
    <phoneticPr fontId="3" type="noConversion"/>
  </si>
  <si>
    <t>선택정렬: 0.636100000000</t>
    <phoneticPr fontId="3" type="noConversion"/>
  </si>
  <si>
    <t>삽입정렬:     1.099800</t>
    <phoneticPr fontId="3" type="noConversion"/>
  </si>
  <si>
    <t>선택정렬: 3.027900000000</t>
    <phoneticPr fontId="3" type="noConversion"/>
  </si>
  <si>
    <t>삽입정렬:     2.418600</t>
    <phoneticPr fontId="3" type="noConversion"/>
  </si>
  <si>
    <t>선택정렬: 2.994900000000</t>
    <phoneticPr fontId="3" type="noConversion"/>
  </si>
  <si>
    <t>삽입정렬:     0.003200</t>
    <phoneticPr fontId="3" type="noConversion"/>
  </si>
  <si>
    <t>선택정렬: 3.224100000000</t>
    <phoneticPr fontId="3" type="noConversion"/>
  </si>
  <si>
    <t>삽입정렬:     2.171600</t>
    <phoneticPr fontId="3" type="noConversion"/>
  </si>
  <si>
    <t>선택정렬: 7.243500000000</t>
    <phoneticPr fontId="3" type="noConversion"/>
  </si>
  <si>
    <t>삽입정렬:     5.275900</t>
    <phoneticPr fontId="3" type="noConversion"/>
  </si>
  <si>
    <t>선택정렬: 14.520400000000</t>
    <phoneticPr fontId="3" type="noConversion"/>
  </si>
  <si>
    <t>삽입정렬:     0.006100</t>
    <phoneticPr fontId="3" type="noConversion"/>
  </si>
  <si>
    <t>선택정렬: 9.470200000000</t>
    <phoneticPr fontId="3" type="noConversion"/>
  </si>
  <si>
    <t>삽입정렬:     8.606100</t>
    <phoneticPr fontId="3" type="noConversion"/>
  </si>
  <si>
    <t>선택정렬: 25.505200000000</t>
    <phoneticPr fontId="3" type="noConversion"/>
  </si>
  <si>
    <t>삽입정렬:    19.936500</t>
    <phoneticPr fontId="3" type="noConversion"/>
  </si>
  <si>
    <t>선택정렬: 53.217200000000</t>
    <phoneticPr fontId="3" type="noConversion"/>
  </si>
  <si>
    <t>삽입정렬:     0.011900</t>
    <phoneticPr fontId="3" type="noConversion"/>
  </si>
  <si>
    <t>선택정렬: 36.610200000000</t>
    <phoneticPr fontId="3" type="noConversion"/>
  </si>
  <si>
    <t>삽입정렬:    32.941600</t>
    <phoneticPr fontId="3" type="noConversion"/>
  </si>
  <si>
    <t>선택정렬: 102.500400000000</t>
    <phoneticPr fontId="3" type="noConversion"/>
  </si>
  <si>
    <t>삽입정렬:    69.941700</t>
    <phoneticPr fontId="3" type="noConversion"/>
  </si>
  <si>
    <t>선택정렬: 183.660600000000</t>
    <phoneticPr fontId="3" type="noConversion"/>
  </si>
  <si>
    <t>삽입정렬:     0.023700</t>
    <phoneticPr fontId="3" type="noConversion"/>
  </si>
  <si>
    <t>선택정렬: 145.639500000000</t>
    <phoneticPr fontId="3" type="noConversion"/>
  </si>
  <si>
    <t>삽입정렬:   132.963400</t>
    <phoneticPr fontId="3" type="noConversion"/>
  </si>
  <si>
    <t>선택정렬: 395.535200000000</t>
    <phoneticPr fontId="3" type="noConversion"/>
  </si>
  <si>
    <t>삽입정렬:   271.669000</t>
    <phoneticPr fontId="3" type="noConversion"/>
  </si>
  <si>
    <t>선택정렬: 761.739900000000</t>
    <phoneticPr fontId="3" type="noConversion"/>
  </si>
  <si>
    <t>삽입정렬:     0.081300</t>
    <phoneticPr fontId="3" type="noConversion"/>
  </si>
  <si>
    <t>선택정렬: 582.259100000000</t>
    <phoneticPr fontId="3" type="noConversion"/>
  </si>
  <si>
    <t>삽입정렬:   514.174700</t>
    <phoneticPr fontId="3" type="noConversion"/>
  </si>
  <si>
    <t>선택정렬: 1647.635600000000</t>
    <phoneticPr fontId="3" type="noConversion"/>
  </si>
  <si>
    <t>삽입정렬:  1038.046100</t>
    <phoneticPr fontId="3" type="noConversion"/>
  </si>
  <si>
    <t>선택정렬: 3083.228900000000</t>
    <phoneticPr fontId="3" type="noConversion"/>
  </si>
  <si>
    <t>삽입정렬:     0.093200</t>
    <phoneticPr fontId="3" type="noConversion"/>
  </si>
  <si>
    <t>선택정렬: 2307.302100000000</t>
    <phoneticPr fontId="3" type="noConversion"/>
  </si>
  <si>
    <t>삽입정렬:  2096.815300</t>
    <phoneticPr fontId="3" type="noConversion"/>
  </si>
  <si>
    <t>선택정렬: 6449.538700000000</t>
    <phoneticPr fontId="3" type="noConversion"/>
  </si>
  <si>
    <t>삽입정렬:  4179.143200</t>
    <phoneticPr fontId="3" type="noConversion"/>
  </si>
  <si>
    <t>선택정렬: 13345.081600000000</t>
    <phoneticPr fontId="3" type="noConversion"/>
  </si>
  <si>
    <t>삽입정렬:     0.275800</t>
    <phoneticPr fontId="3" type="noConversion"/>
  </si>
  <si>
    <t>선택정렬: 9953.613400000000</t>
    <phoneticPr fontId="3" type="noConversion"/>
  </si>
  <si>
    <t>삽입정렬:  8372.731500</t>
    <phoneticPr fontId="3" type="noConversion"/>
  </si>
  <si>
    <t>1000~2000</t>
    <phoneticPr fontId="3" type="noConversion"/>
  </si>
  <si>
    <t>구간</t>
    <phoneticPr fontId="3" type="noConversion"/>
  </si>
  <si>
    <t>2000~4000</t>
    <phoneticPr fontId="3" type="noConversion"/>
  </si>
  <si>
    <t>4000~8000</t>
    <phoneticPr fontId="3" type="noConversion"/>
  </si>
  <si>
    <t>8000~16000</t>
    <phoneticPr fontId="3" type="noConversion"/>
  </si>
  <si>
    <t>16000~32000</t>
    <phoneticPr fontId="3" type="noConversion"/>
  </si>
  <si>
    <t>32000~64000</t>
    <phoneticPr fontId="3" type="noConversion"/>
  </si>
  <si>
    <t>64000~128000</t>
    <phoneticPr fontId="3" type="noConversion"/>
  </si>
  <si>
    <t>선택정렬 증가율</t>
    <phoneticPr fontId="3" type="noConversion"/>
  </si>
  <si>
    <t>삽입정렬 증가율</t>
    <phoneticPr fontId="3" type="noConversion"/>
  </si>
  <si>
    <t>실험 A</t>
    <phoneticPr fontId="3" type="noConversion"/>
  </si>
  <si>
    <t>실험 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</si>
</sst>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>
      <alignment vertical="center"/>
    </xf>
    <xf numFmtId="0" fontId="1" fillId="2" borderId="1" applyNumberFormat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2" fillId="0" borderId="2" xfId="2">
      <alignment vertical="center"/>
    </xf>
  </cellXfs>
  <cellStyles count="3">
    <cellStyle name="요약" xfId="2" builtinId="25"/>
    <cellStyle name="출력" xfId="1" builtinId="2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실험 </a:t>
            </a:r>
            <a:r>
              <a:rPr lang="en-US"/>
              <a:t>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Sheet1!$B$45:$B$46</c:f>
              <c:strCache>
                <c:ptCount val="2"/>
                <c:pt idx="0">
                  <c:v>실험A</c:v>
                </c:pt>
                <c:pt idx="1">
                  <c:v>선택정렬(ms)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Sheet1!$A$47:$A$54</c:f>
              <c:numCache>
                <c:formatCode>General</c:formatCode>
                <c:ptCount val="8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</c:numCache>
            </c:numRef>
          </c:xVal>
          <c:yVal>
            <c:numRef>
              <c:f>Sheet1!$B$47:$B$54</c:f>
              <c:numCache>
                <c:formatCode>General</c:formatCode>
                <c:ptCount val="8"/>
                <c:pt idx="0">
                  <c:v>0.86260000000000003</c:v>
                </c:pt>
                <c:pt idx="1">
                  <c:v>3.0278999999999998</c:v>
                </c:pt>
                <c:pt idx="2">
                  <c:v>7.2435</c:v>
                </c:pt>
                <c:pt idx="3">
                  <c:v>25.505199999999999</c:v>
                </c:pt>
                <c:pt idx="4">
                  <c:v>102.5004</c:v>
                </c:pt>
                <c:pt idx="5">
                  <c:v>395.53519999999997</c:v>
                </c:pt>
                <c:pt idx="6">
                  <c:v>1647.6356000000001</c:v>
                </c:pt>
                <c:pt idx="7">
                  <c:v>6449.5387000000001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BA-4684-B91A-40F71937F4A3}"/>
            </c:ext>
          </c:extLst>
        </c:ser>
        <c:ser>
          <c:idx val="1"/>
          <c:order val="1"/>
          <c:tx>
            <c:strRef>
              <c:f>Sheet1!$C$45:$C$46</c:f>
              <c:strCache>
                <c:ptCount val="2"/>
                <c:pt idx="0">
                  <c:v>실험A</c:v>
                </c:pt>
                <c:pt idx="1">
                  <c:v>삽입정렬(ms)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Sheet1!$A$47:$A$54</c:f>
              <c:numCache>
                <c:formatCode>General</c:formatCode>
                <c:ptCount val="8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</c:numCache>
            </c:numRef>
          </c:xVal>
          <c:yVal>
            <c:numRef>
              <c:f>Sheet1!$C$47:$C$54</c:f>
              <c:numCache>
                <c:formatCode>General</c:formatCode>
                <c:ptCount val="8"/>
                <c:pt idx="0">
                  <c:v>0.70030000000000003</c:v>
                </c:pt>
                <c:pt idx="1">
                  <c:v>2.4186000000000001</c:v>
                </c:pt>
                <c:pt idx="2">
                  <c:v>5.2759</c:v>
                </c:pt>
                <c:pt idx="3">
                  <c:v>19.936499999999999</c:v>
                </c:pt>
                <c:pt idx="4">
                  <c:v>69.941699999999997</c:v>
                </c:pt>
                <c:pt idx="5">
                  <c:v>271.66899999999998</c:v>
                </c:pt>
                <c:pt idx="6">
                  <c:v>1038.0461</c:v>
                </c:pt>
                <c:pt idx="7">
                  <c:v>4179.1432000000004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BA-4684-B91A-40F71937F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892560"/>
        <c:axId val="81870768"/>
      </c:scatterChart>
      <c:valAx>
        <c:axId val="17089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870768"/>
        <c:crosses val="autoZero"/>
        <c:crossBetween val="midCat"/>
      </c:valAx>
      <c:valAx>
        <c:axId val="8187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892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실험 </a:t>
            </a:r>
            <a:r>
              <a:rPr lang="en-US" altLang="ko-KR"/>
              <a:t>B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Sheet1!$F$45:$F$46</c:f>
              <c:strCache>
                <c:ptCount val="2"/>
                <c:pt idx="0">
                  <c:v>실험B</c:v>
                </c:pt>
                <c:pt idx="1">
                  <c:v>선택정렬(ms)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Sheet1!$E$47:$E$54</c:f>
              <c:numCache>
                <c:formatCode>General</c:formatCode>
                <c:ptCount val="8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</c:numCache>
            </c:numRef>
          </c:xVal>
          <c:yVal>
            <c:numRef>
              <c:f>Sheet1!$F$47:$F$54</c:f>
              <c:numCache>
                <c:formatCode>General</c:formatCode>
                <c:ptCount val="8"/>
                <c:pt idx="0">
                  <c:v>1.0325</c:v>
                </c:pt>
                <c:pt idx="1">
                  <c:v>2.9948999999999999</c:v>
                </c:pt>
                <c:pt idx="2">
                  <c:v>14.5204</c:v>
                </c:pt>
                <c:pt idx="3">
                  <c:v>53.217199999999998</c:v>
                </c:pt>
                <c:pt idx="4">
                  <c:v>183.66059999999999</c:v>
                </c:pt>
                <c:pt idx="5">
                  <c:v>761.73990000000003</c:v>
                </c:pt>
                <c:pt idx="6">
                  <c:v>3083.2289000000001</c:v>
                </c:pt>
                <c:pt idx="7">
                  <c:v>13345.0816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A1-4836-9708-D0F63C7A1466}"/>
            </c:ext>
          </c:extLst>
        </c:ser>
        <c:ser>
          <c:idx val="1"/>
          <c:order val="1"/>
          <c:tx>
            <c:strRef>
              <c:f>Sheet1!$G$45:$G$46</c:f>
              <c:strCache>
                <c:ptCount val="2"/>
                <c:pt idx="0">
                  <c:v>실험B</c:v>
                </c:pt>
                <c:pt idx="1">
                  <c:v>삽입정렬(ms)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Sheet1!$E$47:$E$54</c:f>
              <c:numCache>
                <c:formatCode>General</c:formatCode>
                <c:ptCount val="8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</c:numCache>
            </c:numRef>
          </c:xVal>
          <c:yVal>
            <c:numRef>
              <c:f>Sheet1!$G$47:$G$54</c:f>
              <c:numCache>
                <c:formatCode>General</c:formatCode>
                <c:ptCount val="8"/>
                <c:pt idx="0">
                  <c:v>2E-3</c:v>
                </c:pt>
                <c:pt idx="1">
                  <c:v>3.2000000000000002E-3</c:v>
                </c:pt>
                <c:pt idx="2">
                  <c:v>6.1000000000000004E-3</c:v>
                </c:pt>
                <c:pt idx="3">
                  <c:v>1.1900000000000001E-2</c:v>
                </c:pt>
                <c:pt idx="4">
                  <c:v>2.3699999999999999E-2</c:v>
                </c:pt>
                <c:pt idx="5">
                  <c:v>8.1299999999999997E-2</c:v>
                </c:pt>
                <c:pt idx="6">
                  <c:v>9.3200000000000005E-2</c:v>
                </c:pt>
                <c:pt idx="7">
                  <c:v>0.27579999999999999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A1-4836-9708-D0F63C7A1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306432"/>
        <c:axId val="81918288"/>
      </c:scatterChart>
      <c:valAx>
        <c:axId val="17130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918288"/>
        <c:crosses val="autoZero"/>
        <c:crossBetween val="midCat"/>
      </c:valAx>
      <c:valAx>
        <c:axId val="8191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1306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실험 </a:t>
            </a:r>
            <a:r>
              <a:rPr lang="en-US" altLang="ko-KR"/>
              <a:t>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Sheet1!$J$46</c:f>
              <c:strCache>
                <c:ptCount val="1"/>
                <c:pt idx="0">
                  <c:v>선택정렬(ms)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Sheet1!$I$47:$I$54</c:f>
              <c:numCache>
                <c:formatCode>General</c:formatCode>
                <c:ptCount val="8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</c:numCache>
            </c:numRef>
          </c:xVal>
          <c:yVal>
            <c:numRef>
              <c:f>Sheet1!$J$47:$J$54</c:f>
              <c:numCache>
                <c:formatCode>General</c:formatCode>
                <c:ptCount val="8"/>
                <c:pt idx="0">
                  <c:v>0.6361</c:v>
                </c:pt>
                <c:pt idx="1">
                  <c:v>3.2241</c:v>
                </c:pt>
                <c:pt idx="2">
                  <c:v>9.4702000000000002</c:v>
                </c:pt>
                <c:pt idx="3">
                  <c:v>36.610199999999999</c:v>
                </c:pt>
                <c:pt idx="4">
                  <c:v>145.6395</c:v>
                </c:pt>
                <c:pt idx="5">
                  <c:v>582.25909999999999</c:v>
                </c:pt>
                <c:pt idx="6">
                  <c:v>2307.3020999999999</c:v>
                </c:pt>
                <c:pt idx="7">
                  <c:v>9953.6134000000002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20-4D3D-B3E2-7169F35A6650}"/>
            </c:ext>
          </c:extLst>
        </c:ser>
        <c:ser>
          <c:idx val="1"/>
          <c:order val="1"/>
          <c:tx>
            <c:strRef>
              <c:f>Sheet1!$K$46</c:f>
              <c:strCache>
                <c:ptCount val="1"/>
                <c:pt idx="0">
                  <c:v>삽입정렬(ms)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Sheet1!$I$47:$I$54</c:f>
              <c:numCache>
                <c:formatCode>General</c:formatCode>
                <c:ptCount val="8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</c:numCache>
            </c:numRef>
          </c:xVal>
          <c:yVal>
            <c:numRef>
              <c:f>Sheet1!$K$47:$K$54</c:f>
              <c:numCache>
                <c:formatCode>General</c:formatCode>
                <c:ptCount val="8"/>
                <c:pt idx="0">
                  <c:v>1.0998000000000001</c:v>
                </c:pt>
                <c:pt idx="1">
                  <c:v>2.1716000000000002</c:v>
                </c:pt>
                <c:pt idx="2">
                  <c:v>8.6060999999999996</c:v>
                </c:pt>
                <c:pt idx="3">
                  <c:v>32.941600000000001</c:v>
                </c:pt>
                <c:pt idx="4">
                  <c:v>132.96340000000001</c:v>
                </c:pt>
                <c:pt idx="5">
                  <c:v>514.17470000000003</c:v>
                </c:pt>
                <c:pt idx="6">
                  <c:v>2096.8153000000002</c:v>
                </c:pt>
                <c:pt idx="7">
                  <c:v>8372.7314999999999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20-4D3D-B3E2-7169F35A6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83424"/>
        <c:axId val="81888528"/>
      </c:scatterChart>
      <c:valAx>
        <c:axId val="17828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888528"/>
        <c:crosses val="autoZero"/>
        <c:crossBetween val="midCat"/>
      </c:valAx>
      <c:valAx>
        <c:axId val="8188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8283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</xdr:rowOff>
    </xdr:from>
    <xdr:to>
      <xdr:col>5</xdr:col>
      <xdr:colOff>323850</xdr:colOff>
      <xdr:row>68</xdr:row>
      <xdr:rowOff>23812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12BCDEF-6C78-0999-2602-A36DE0DC7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55</xdr:row>
      <xdr:rowOff>4762</xdr:rowOff>
    </xdr:from>
    <xdr:to>
      <xdr:col>10</xdr:col>
      <xdr:colOff>981075</xdr:colOff>
      <xdr:row>68</xdr:row>
      <xdr:rowOff>23812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BDEF9E00-AC3E-C4BC-813B-FDE3541FD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496661</xdr:colOff>
      <xdr:row>54</xdr:row>
      <xdr:rowOff>172810</xdr:rowOff>
    </xdr:from>
    <xdr:to>
      <xdr:col>18</xdr:col>
      <xdr:colOff>306161</xdr:colOff>
      <xdr:row>68</xdr:row>
      <xdr:rowOff>58510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AB3984D2-204F-DF56-6E7D-8D81CB45E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FA785-882B-477F-9666-0E15ECF9EBBD}">
  <dimension ref="A1:O79"/>
  <sheetViews>
    <sheetView tabSelected="1" topLeftCell="A48" zoomScale="85" zoomScaleNormal="85" workbookViewId="0">
      <selection activeCell="G72" sqref="G72"/>
    </sheetView>
  </sheetViews>
  <sheetFormatPr defaultRowHeight="16.5" x14ac:dyDescent="0.3"/>
  <cols>
    <col min="1" max="1" width="14.625" style="1" customWidth="1"/>
    <col min="2" max="2" width="14.25" style="1" customWidth="1"/>
    <col min="3" max="3" width="14.5" style="1" customWidth="1"/>
    <col min="4" max="4" width="9" style="1"/>
    <col min="5" max="5" width="15.875" style="1" customWidth="1"/>
    <col min="6" max="6" width="13.125" style="1" customWidth="1"/>
    <col min="7" max="7" width="16.625" style="1" customWidth="1"/>
    <col min="8" max="8" width="9" style="1"/>
    <col min="9" max="9" width="16.125" style="1" bestFit="1" customWidth="1"/>
    <col min="10" max="10" width="12.625" style="1" customWidth="1"/>
    <col min="11" max="11" width="14.375" style="1" customWidth="1"/>
    <col min="12" max="16384" width="9" style="1"/>
  </cols>
  <sheetData>
    <row r="1" spans="1:15" ht="17.25" thickBot="1" x14ac:dyDescent="0.35">
      <c r="A1" s="4">
        <v>1000</v>
      </c>
      <c r="B1" s="4"/>
      <c r="C1" s="4"/>
      <c r="D1" s="4">
        <v>2000</v>
      </c>
      <c r="E1" s="4"/>
      <c r="F1" s="4"/>
      <c r="G1" s="4">
        <v>4000</v>
      </c>
      <c r="H1" s="4"/>
      <c r="I1" s="4"/>
      <c r="J1" s="4">
        <v>8000</v>
      </c>
      <c r="K1" s="4"/>
      <c r="L1" s="4"/>
      <c r="M1" s="4">
        <v>16000</v>
      </c>
      <c r="N1" s="4"/>
      <c r="O1" s="4"/>
    </row>
    <row r="2" spans="1:15" ht="18" thickTop="1" thickBot="1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8" thickTop="1" thickBot="1" x14ac:dyDescent="0.35">
      <c r="A3" s="4" t="s">
        <v>0</v>
      </c>
      <c r="B3" s="4"/>
      <c r="C3" s="4"/>
      <c r="D3" s="4" t="s">
        <v>0</v>
      </c>
      <c r="E3" s="4"/>
      <c r="F3" s="4"/>
      <c r="G3" s="4" t="s">
        <v>0</v>
      </c>
      <c r="H3" s="4"/>
      <c r="I3" s="4"/>
      <c r="J3" s="4" t="s">
        <v>0</v>
      </c>
      <c r="K3" s="4"/>
      <c r="L3" s="4"/>
      <c r="M3" s="4" t="s">
        <v>0</v>
      </c>
      <c r="N3" s="4"/>
      <c r="O3" s="4"/>
    </row>
    <row r="4" spans="1:15" ht="18" thickTop="1" thickBot="1" x14ac:dyDescent="0.35">
      <c r="A4" s="4" t="s">
        <v>3</v>
      </c>
      <c r="B4" s="4"/>
      <c r="C4" s="4"/>
      <c r="D4" s="4" t="s">
        <v>4</v>
      </c>
      <c r="E4" s="4"/>
      <c r="F4" s="4"/>
      <c r="G4" s="4" t="s">
        <v>7</v>
      </c>
      <c r="H4" s="4"/>
      <c r="I4" s="4"/>
      <c r="J4" s="4" t="s">
        <v>8</v>
      </c>
      <c r="K4" s="4"/>
      <c r="L4" s="4"/>
      <c r="M4" s="4" t="s">
        <v>9</v>
      </c>
      <c r="N4" s="4"/>
      <c r="O4" s="4"/>
    </row>
    <row r="5" spans="1:15" ht="18" thickTop="1" thickBot="1" x14ac:dyDescent="0.35">
      <c r="A5" s="4" t="s">
        <v>16</v>
      </c>
      <c r="B5" s="4"/>
      <c r="C5" s="4"/>
      <c r="D5" s="4" t="s">
        <v>25</v>
      </c>
      <c r="E5" s="4"/>
      <c r="F5" s="4"/>
      <c r="G5" s="4" t="s">
        <v>31</v>
      </c>
      <c r="H5" s="4"/>
      <c r="I5" s="4"/>
      <c r="J5" s="4" t="s">
        <v>37</v>
      </c>
      <c r="K5" s="4"/>
      <c r="L5" s="4"/>
      <c r="M5" s="4" t="s">
        <v>43</v>
      </c>
      <c r="N5" s="4"/>
      <c r="O5" s="4"/>
    </row>
    <row r="6" spans="1:15" ht="18" thickTop="1" thickBot="1" x14ac:dyDescent="0.35">
      <c r="A6" s="4" t="s">
        <v>17</v>
      </c>
      <c r="B6" s="4"/>
      <c r="C6" s="4"/>
      <c r="D6" s="4" t="s">
        <v>26</v>
      </c>
      <c r="E6" s="4"/>
      <c r="F6" s="4"/>
      <c r="G6" s="4" t="s">
        <v>32</v>
      </c>
      <c r="H6" s="4"/>
      <c r="I6" s="4"/>
      <c r="J6" s="4" t="s">
        <v>38</v>
      </c>
      <c r="K6" s="4"/>
      <c r="L6" s="4"/>
      <c r="M6" s="4" t="s">
        <v>44</v>
      </c>
      <c r="N6" s="4"/>
      <c r="O6" s="4"/>
    </row>
    <row r="7" spans="1:15" ht="18" thickTop="1" thickBo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18" thickTop="1" thickBot="1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18" thickTop="1" thickBot="1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18" thickTop="1" thickBot="1" x14ac:dyDescent="0.35">
      <c r="A10" s="4" t="s">
        <v>2</v>
      </c>
      <c r="B10" s="4"/>
      <c r="C10" s="4"/>
      <c r="D10" s="4" t="s">
        <v>2</v>
      </c>
      <c r="E10" s="4"/>
      <c r="F10" s="4"/>
      <c r="G10" s="4" t="s">
        <v>2</v>
      </c>
      <c r="H10" s="4"/>
      <c r="I10" s="4"/>
      <c r="J10" s="4" t="s">
        <v>2</v>
      </c>
      <c r="K10" s="4"/>
      <c r="L10" s="4"/>
      <c r="M10" s="4" t="s">
        <v>2</v>
      </c>
      <c r="N10" s="4"/>
      <c r="O10" s="4"/>
    </row>
    <row r="11" spans="1:15" ht="18" thickTop="1" thickBot="1" x14ac:dyDescent="0.35">
      <c r="A11" s="4" t="s">
        <v>1</v>
      </c>
      <c r="B11" s="4"/>
      <c r="C11" s="4"/>
      <c r="D11" s="4" t="s">
        <v>4</v>
      </c>
      <c r="E11" s="4"/>
      <c r="F11" s="4"/>
      <c r="G11" s="4" t="s">
        <v>7</v>
      </c>
      <c r="H11" s="4"/>
      <c r="I11" s="4"/>
      <c r="J11" s="4" t="s">
        <v>8</v>
      </c>
      <c r="K11" s="4"/>
      <c r="L11" s="4"/>
      <c r="M11" s="4" t="s">
        <v>9</v>
      </c>
      <c r="N11" s="4"/>
      <c r="O11" s="4"/>
    </row>
    <row r="12" spans="1:15" ht="18" thickTop="1" thickBot="1" x14ac:dyDescent="0.35">
      <c r="A12" s="4" t="s">
        <v>21</v>
      </c>
      <c r="B12" s="4"/>
      <c r="C12" s="4"/>
      <c r="D12" s="4" t="s">
        <v>27</v>
      </c>
      <c r="E12" s="4"/>
      <c r="F12" s="4"/>
      <c r="G12" s="4" t="s">
        <v>33</v>
      </c>
      <c r="H12" s="4"/>
      <c r="I12" s="4"/>
      <c r="J12" s="4" t="s">
        <v>39</v>
      </c>
      <c r="K12" s="4"/>
      <c r="L12" s="4"/>
      <c r="M12" s="4" t="s">
        <v>45</v>
      </c>
      <c r="N12" s="4"/>
      <c r="O12" s="4"/>
    </row>
    <row r="13" spans="1:15" ht="18" thickTop="1" thickBot="1" x14ac:dyDescent="0.35">
      <c r="A13" s="4" t="s">
        <v>22</v>
      </c>
      <c r="B13" s="4"/>
      <c r="C13" s="4"/>
      <c r="D13" s="4" t="s">
        <v>28</v>
      </c>
      <c r="E13" s="4"/>
      <c r="F13" s="4"/>
      <c r="G13" s="4" t="s">
        <v>34</v>
      </c>
      <c r="H13" s="4"/>
      <c r="I13" s="4"/>
      <c r="J13" s="4" t="s">
        <v>40</v>
      </c>
      <c r="K13" s="4"/>
      <c r="L13" s="4"/>
      <c r="M13" s="4" t="s">
        <v>46</v>
      </c>
      <c r="N13" s="4"/>
      <c r="O13" s="4"/>
    </row>
    <row r="14" spans="1:15" ht="18" thickTop="1" thickBo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18" thickTop="1" thickBo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ht="18" thickTop="1" thickBo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8" thickTop="1" thickBot="1" x14ac:dyDescent="0.35">
      <c r="A17" s="4" t="s">
        <v>6</v>
      </c>
      <c r="B17" s="4"/>
      <c r="C17" s="4"/>
      <c r="D17" s="4" t="s">
        <v>6</v>
      </c>
      <c r="E17" s="4"/>
      <c r="F17" s="4"/>
      <c r="G17" s="4" t="s">
        <v>5</v>
      </c>
      <c r="H17" s="4"/>
      <c r="I17" s="4"/>
      <c r="J17" s="4" t="s">
        <v>5</v>
      </c>
      <c r="K17" s="4"/>
      <c r="L17" s="4"/>
      <c r="M17" s="4" t="s">
        <v>5</v>
      </c>
      <c r="N17" s="4"/>
      <c r="O17" s="4"/>
    </row>
    <row r="18" spans="1:15" ht="18" thickTop="1" thickBot="1" x14ac:dyDescent="0.35">
      <c r="A18" s="4" t="s">
        <v>1</v>
      </c>
      <c r="B18" s="4"/>
      <c r="C18" s="4"/>
      <c r="D18" s="4" t="s">
        <v>4</v>
      </c>
      <c r="E18" s="4"/>
      <c r="F18" s="4"/>
      <c r="G18" s="4" t="s">
        <v>7</v>
      </c>
      <c r="H18" s="4"/>
      <c r="I18" s="4"/>
      <c r="J18" s="4" t="s">
        <v>8</v>
      </c>
      <c r="K18" s="4"/>
      <c r="L18" s="4"/>
      <c r="M18" s="4" t="s">
        <v>9</v>
      </c>
      <c r="N18" s="4"/>
      <c r="O18" s="4"/>
    </row>
    <row r="19" spans="1:15" ht="18" thickTop="1" thickBot="1" x14ac:dyDescent="0.35">
      <c r="A19" s="4" t="s">
        <v>23</v>
      </c>
      <c r="B19" s="4"/>
      <c r="C19" s="4"/>
      <c r="D19" s="4" t="s">
        <v>29</v>
      </c>
      <c r="E19" s="4"/>
      <c r="F19" s="4"/>
      <c r="G19" s="4" t="s">
        <v>35</v>
      </c>
      <c r="H19" s="4"/>
      <c r="I19" s="4"/>
      <c r="J19" s="4" t="s">
        <v>41</v>
      </c>
      <c r="K19" s="4"/>
      <c r="L19" s="4"/>
      <c r="M19" s="4" t="s">
        <v>47</v>
      </c>
      <c r="N19" s="4"/>
      <c r="O19" s="4"/>
    </row>
    <row r="20" spans="1:15" ht="18" thickTop="1" thickBot="1" x14ac:dyDescent="0.35">
      <c r="A20" s="4" t="s">
        <v>24</v>
      </c>
      <c r="B20" s="4"/>
      <c r="C20" s="4"/>
      <c r="D20" s="4" t="s">
        <v>30</v>
      </c>
      <c r="E20" s="4"/>
      <c r="F20" s="4"/>
      <c r="G20" s="4" t="s">
        <v>36</v>
      </c>
      <c r="H20" s="4"/>
      <c r="I20" s="4"/>
      <c r="J20" s="4" t="s">
        <v>42</v>
      </c>
      <c r="K20" s="4"/>
      <c r="L20" s="4"/>
      <c r="M20" s="4" t="s">
        <v>48</v>
      </c>
      <c r="N20" s="4"/>
      <c r="O20" s="4"/>
    </row>
    <row r="21" spans="1:15" ht="17.25" thickTop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ht="17.25" thickBot="1" x14ac:dyDescent="0.35">
      <c r="A23" s="4">
        <v>32000</v>
      </c>
      <c r="B23" s="4"/>
      <c r="C23" s="4"/>
      <c r="D23" s="4">
        <v>64000</v>
      </c>
      <c r="E23" s="4"/>
      <c r="F23" s="4"/>
      <c r="G23" s="4">
        <v>128000</v>
      </c>
      <c r="H23" s="4"/>
      <c r="I23" s="4"/>
      <c r="J23" s="4"/>
      <c r="K23" s="4"/>
      <c r="L23" s="4"/>
      <c r="M23" s="4"/>
      <c r="N23" s="4"/>
      <c r="O23" s="4"/>
    </row>
    <row r="24" spans="1:15" ht="18" thickTop="1" thickBo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ht="18" thickTop="1" thickBot="1" x14ac:dyDescent="0.35">
      <c r="A25" s="4" t="s">
        <v>0</v>
      </c>
      <c r="B25" s="4"/>
      <c r="C25" s="4"/>
      <c r="D25" s="4" t="s">
        <v>0</v>
      </c>
      <c r="E25" s="4"/>
      <c r="F25" s="4"/>
      <c r="G25" s="4" t="s">
        <v>0</v>
      </c>
      <c r="H25" s="4"/>
      <c r="I25" s="4"/>
      <c r="J25" s="4"/>
      <c r="K25" s="4"/>
      <c r="L25" s="4"/>
      <c r="M25" s="4"/>
      <c r="N25" s="4"/>
      <c r="O25" s="4"/>
    </row>
    <row r="26" spans="1:15" ht="18" thickTop="1" thickBot="1" x14ac:dyDescent="0.35">
      <c r="A26" s="4" t="s">
        <v>10</v>
      </c>
      <c r="B26" s="4"/>
      <c r="C26" s="4"/>
      <c r="D26" s="4" t="s">
        <v>11</v>
      </c>
      <c r="E26" s="4"/>
      <c r="F26" s="4"/>
      <c r="G26" s="4" t="s">
        <v>12</v>
      </c>
      <c r="H26" s="4"/>
      <c r="I26" s="4"/>
      <c r="J26" s="4"/>
      <c r="K26" s="4"/>
      <c r="L26" s="4"/>
      <c r="M26" s="4"/>
      <c r="N26" s="4"/>
      <c r="O26" s="4"/>
    </row>
    <row r="27" spans="1:15" ht="18" thickTop="1" thickBot="1" x14ac:dyDescent="0.35">
      <c r="A27" s="4" t="s">
        <v>49</v>
      </c>
      <c r="B27" s="4"/>
      <c r="C27" s="4"/>
      <c r="D27" s="4" t="s">
        <v>55</v>
      </c>
      <c r="E27" s="4"/>
      <c r="F27" s="4"/>
      <c r="G27" s="4" t="s">
        <v>61</v>
      </c>
      <c r="H27" s="4"/>
      <c r="I27" s="4"/>
      <c r="J27" s="4"/>
      <c r="K27" s="4"/>
      <c r="L27" s="4"/>
      <c r="M27" s="4"/>
      <c r="N27" s="4"/>
      <c r="O27" s="4"/>
    </row>
    <row r="28" spans="1:15" ht="18" thickTop="1" thickBot="1" x14ac:dyDescent="0.35">
      <c r="A28" s="4" t="s">
        <v>50</v>
      </c>
      <c r="B28" s="4"/>
      <c r="C28" s="4"/>
      <c r="D28" s="4" t="s">
        <v>56</v>
      </c>
      <c r="E28" s="4"/>
      <c r="F28" s="4"/>
      <c r="G28" s="4" t="s">
        <v>62</v>
      </c>
      <c r="H28" s="4"/>
      <c r="I28" s="4"/>
      <c r="J28" s="4"/>
      <c r="K28" s="4"/>
      <c r="L28" s="4"/>
      <c r="M28" s="4"/>
      <c r="N28" s="4"/>
      <c r="O28" s="4"/>
    </row>
    <row r="29" spans="1:15" ht="18" thickTop="1" thickBo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ht="18" thickTop="1" thickBo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ht="18" thickTop="1" thickBo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ht="18" thickTop="1" thickBot="1" x14ac:dyDescent="0.35">
      <c r="A32" s="4" t="s">
        <v>2</v>
      </c>
      <c r="B32" s="4"/>
      <c r="C32" s="4"/>
      <c r="D32" s="4" t="s">
        <v>2</v>
      </c>
      <c r="E32" s="4"/>
      <c r="F32" s="4"/>
      <c r="G32" s="4" t="s">
        <v>2</v>
      </c>
      <c r="H32" s="4"/>
      <c r="I32" s="4"/>
      <c r="J32" s="4"/>
      <c r="K32" s="4"/>
      <c r="L32" s="4"/>
      <c r="M32" s="4"/>
      <c r="N32" s="4"/>
      <c r="O32" s="4"/>
    </row>
    <row r="33" spans="1:15" ht="18" thickTop="1" thickBot="1" x14ac:dyDescent="0.35">
      <c r="A33" s="4" t="s">
        <v>10</v>
      </c>
      <c r="B33" s="4"/>
      <c r="C33" s="4"/>
      <c r="D33" s="4" t="s">
        <v>11</v>
      </c>
      <c r="E33" s="4"/>
      <c r="F33" s="4"/>
      <c r="G33" s="4" t="s">
        <v>12</v>
      </c>
      <c r="H33" s="4"/>
      <c r="I33" s="4"/>
      <c r="J33" s="4"/>
      <c r="K33" s="4"/>
      <c r="L33" s="4"/>
      <c r="M33" s="4"/>
      <c r="N33" s="4"/>
      <c r="O33" s="4"/>
    </row>
    <row r="34" spans="1:15" ht="18" thickTop="1" thickBot="1" x14ac:dyDescent="0.35">
      <c r="A34" s="4" t="s">
        <v>51</v>
      </c>
      <c r="B34" s="4"/>
      <c r="C34" s="4"/>
      <c r="D34" s="4" t="s">
        <v>57</v>
      </c>
      <c r="E34" s="4"/>
      <c r="F34" s="4"/>
      <c r="G34" s="4" t="s">
        <v>63</v>
      </c>
      <c r="H34" s="4"/>
      <c r="I34" s="4"/>
      <c r="J34" s="4"/>
      <c r="K34" s="4"/>
      <c r="L34" s="4"/>
      <c r="M34" s="4"/>
      <c r="N34" s="4"/>
      <c r="O34" s="4"/>
    </row>
    <row r="35" spans="1:15" ht="18" thickTop="1" thickBot="1" x14ac:dyDescent="0.35">
      <c r="A35" s="4" t="s">
        <v>52</v>
      </c>
      <c r="B35" s="4"/>
      <c r="C35" s="4"/>
      <c r="D35" s="4" t="s">
        <v>58</v>
      </c>
      <c r="E35" s="4"/>
      <c r="F35" s="4"/>
      <c r="G35" s="4" t="s">
        <v>64</v>
      </c>
      <c r="H35" s="4"/>
      <c r="I35" s="4"/>
      <c r="J35" s="4"/>
      <c r="K35" s="4"/>
      <c r="L35" s="4"/>
      <c r="M35" s="4"/>
      <c r="N35" s="4"/>
      <c r="O35" s="4"/>
    </row>
    <row r="36" spans="1:15" ht="18" thickTop="1" thickBo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ht="18" thickTop="1" thickBo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ht="18" thickTop="1" thickBo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18" thickTop="1" thickBot="1" x14ac:dyDescent="0.35">
      <c r="A39" s="4" t="s">
        <v>5</v>
      </c>
      <c r="B39" s="4"/>
      <c r="C39" s="4"/>
      <c r="D39" s="4" t="s">
        <v>5</v>
      </c>
      <c r="E39" s="4"/>
      <c r="F39" s="4"/>
      <c r="G39" s="4" t="s">
        <v>5</v>
      </c>
      <c r="H39" s="4"/>
      <c r="I39" s="4"/>
      <c r="J39" s="4"/>
      <c r="K39" s="4"/>
      <c r="L39" s="4"/>
      <c r="M39" s="4"/>
      <c r="N39" s="4"/>
      <c r="O39" s="4"/>
    </row>
    <row r="40" spans="1:15" ht="18" thickTop="1" thickBot="1" x14ac:dyDescent="0.35">
      <c r="A40" s="4" t="s">
        <v>10</v>
      </c>
      <c r="B40" s="4"/>
      <c r="C40" s="4"/>
      <c r="D40" s="4" t="s">
        <v>11</v>
      </c>
      <c r="E40" s="4"/>
      <c r="F40" s="4"/>
      <c r="G40" s="4" t="s">
        <v>12</v>
      </c>
      <c r="H40" s="4"/>
      <c r="I40" s="4"/>
      <c r="J40" s="4"/>
      <c r="K40" s="4"/>
      <c r="L40" s="4"/>
      <c r="M40" s="4"/>
      <c r="N40" s="4"/>
      <c r="O40" s="4"/>
    </row>
    <row r="41" spans="1:15" ht="18" thickTop="1" thickBot="1" x14ac:dyDescent="0.35">
      <c r="A41" s="4" t="s">
        <v>53</v>
      </c>
      <c r="B41" s="4"/>
      <c r="C41" s="4"/>
      <c r="D41" s="4" t="s">
        <v>59</v>
      </c>
      <c r="E41" s="4"/>
      <c r="F41" s="4"/>
      <c r="G41" s="4" t="s">
        <v>65</v>
      </c>
      <c r="H41" s="4"/>
      <c r="I41" s="4"/>
      <c r="J41" s="4"/>
      <c r="K41" s="4"/>
      <c r="L41" s="4"/>
      <c r="M41" s="4"/>
      <c r="N41" s="4"/>
      <c r="O41" s="4"/>
    </row>
    <row r="42" spans="1:15" ht="18" thickTop="1" thickBot="1" x14ac:dyDescent="0.35">
      <c r="A42" s="4" t="s">
        <v>54</v>
      </c>
      <c r="B42" s="4"/>
      <c r="C42" s="4"/>
      <c r="D42" s="4" t="s">
        <v>60</v>
      </c>
      <c r="E42" s="4"/>
      <c r="F42" s="4"/>
      <c r="G42" s="4" t="s">
        <v>66</v>
      </c>
      <c r="H42" s="4"/>
      <c r="I42" s="4"/>
      <c r="J42" s="4"/>
      <c r="K42" s="4"/>
      <c r="L42" s="4"/>
      <c r="M42" s="4"/>
      <c r="N42" s="4"/>
      <c r="O42" s="4"/>
    </row>
    <row r="43" spans="1:15" ht="17.25" thickTop="1" x14ac:dyDescent="0.3">
      <c r="G43" s="3"/>
    </row>
    <row r="45" spans="1:15" x14ac:dyDescent="0.3">
      <c r="A45" s="2" t="s">
        <v>18</v>
      </c>
      <c r="B45" s="2"/>
      <c r="C45" s="2"/>
      <c r="E45" s="2" t="s">
        <v>19</v>
      </c>
      <c r="F45" s="2"/>
      <c r="G45" s="2"/>
      <c r="I45" s="2" t="s">
        <v>20</v>
      </c>
      <c r="J45" s="2"/>
      <c r="K45" s="2"/>
    </row>
    <row r="46" spans="1:15" x14ac:dyDescent="0.3">
      <c r="A46" s="2" t="s">
        <v>13</v>
      </c>
      <c r="B46" s="2" t="s">
        <v>14</v>
      </c>
      <c r="C46" s="2" t="s">
        <v>15</v>
      </c>
      <c r="E46" s="2" t="s">
        <v>13</v>
      </c>
      <c r="F46" s="2" t="s">
        <v>14</v>
      </c>
      <c r="G46" s="2" t="s">
        <v>15</v>
      </c>
      <c r="I46" s="2" t="s">
        <v>13</v>
      </c>
      <c r="J46" s="2" t="s">
        <v>14</v>
      </c>
      <c r="K46" s="2" t="s">
        <v>15</v>
      </c>
    </row>
    <row r="47" spans="1:15" x14ac:dyDescent="0.3">
      <c r="A47" s="2">
        <v>1000</v>
      </c>
      <c r="B47" s="2">
        <v>0.86260000000000003</v>
      </c>
      <c r="C47" s="2">
        <v>0.70030000000000003</v>
      </c>
      <c r="E47" s="2">
        <v>1000</v>
      </c>
      <c r="F47" s="2">
        <v>1.0325</v>
      </c>
      <c r="G47" s="2">
        <v>2E-3</v>
      </c>
      <c r="I47" s="2">
        <v>1000</v>
      </c>
      <c r="J47" s="2">
        <v>0.6361</v>
      </c>
      <c r="K47" s="2">
        <v>1.0998000000000001</v>
      </c>
    </row>
    <row r="48" spans="1:15" x14ac:dyDescent="0.3">
      <c r="A48" s="2">
        <v>2000</v>
      </c>
      <c r="B48" s="2">
        <v>3.0278999999999998</v>
      </c>
      <c r="C48" s="2">
        <v>2.4186000000000001</v>
      </c>
      <c r="E48" s="2">
        <v>2000</v>
      </c>
      <c r="F48" s="2">
        <v>2.9948999999999999</v>
      </c>
      <c r="G48" s="2">
        <v>3.2000000000000002E-3</v>
      </c>
      <c r="I48" s="2">
        <v>2000</v>
      </c>
      <c r="J48" s="2">
        <v>3.2241</v>
      </c>
      <c r="K48" s="2">
        <v>2.1716000000000002</v>
      </c>
    </row>
    <row r="49" spans="1:11" x14ac:dyDescent="0.3">
      <c r="A49" s="2">
        <v>4000</v>
      </c>
      <c r="B49" s="2">
        <v>7.2435</v>
      </c>
      <c r="C49" s="2">
        <v>5.2759</v>
      </c>
      <c r="E49" s="2">
        <v>4000</v>
      </c>
      <c r="F49" s="2">
        <v>14.5204</v>
      </c>
      <c r="G49" s="2">
        <v>6.1000000000000004E-3</v>
      </c>
      <c r="I49" s="2">
        <v>4000</v>
      </c>
      <c r="J49" s="2">
        <v>9.4702000000000002</v>
      </c>
      <c r="K49" s="2">
        <v>8.6060999999999996</v>
      </c>
    </row>
    <row r="50" spans="1:11" x14ac:dyDescent="0.3">
      <c r="A50" s="2">
        <v>8000</v>
      </c>
      <c r="B50" s="2">
        <v>25.505199999999999</v>
      </c>
      <c r="C50" s="2">
        <v>19.936499999999999</v>
      </c>
      <c r="E50" s="2">
        <v>8000</v>
      </c>
      <c r="F50" s="2">
        <v>53.217199999999998</v>
      </c>
      <c r="G50" s="2">
        <v>1.1900000000000001E-2</v>
      </c>
      <c r="I50" s="2">
        <v>8000</v>
      </c>
      <c r="J50" s="2">
        <v>36.610199999999999</v>
      </c>
      <c r="K50" s="2">
        <v>32.941600000000001</v>
      </c>
    </row>
    <row r="51" spans="1:11" x14ac:dyDescent="0.3">
      <c r="A51" s="2">
        <v>16000</v>
      </c>
      <c r="B51" s="2">
        <v>102.5004</v>
      </c>
      <c r="C51" s="2">
        <v>69.941699999999997</v>
      </c>
      <c r="E51" s="2">
        <v>16000</v>
      </c>
      <c r="F51" s="2">
        <v>183.66059999999999</v>
      </c>
      <c r="G51" s="2">
        <v>2.3699999999999999E-2</v>
      </c>
      <c r="I51" s="2">
        <v>16000</v>
      </c>
      <c r="J51" s="2">
        <v>145.6395</v>
      </c>
      <c r="K51" s="2">
        <v>132.96340000000001</v>
      </c>
    </row>
    <row r="52" spans="1:11" x14ac:dyDescent="0.3">
      <c r="A52" s="2">
        <v>32000</v>
      </c>
      <c r="B52" s="2">
        <v>395.53519999999997</v>
      </c>
      <c r="C52" s="2">
        <v>271.66899999999998</v>
      </c>
      <c r="E52" s="2">
        <v>32000</v>
      </c>
      <c r="F52" s="2">
        <v>761.73990000000003</v>
      </c>
      <c r="G52" s="2">
        <v>8.1299999999999997E-2</v>
      </c>
      <c r="I52" s="2">
        <v>32000</v>
      </c>
      <c r="J52" s="2">
        <v>582.25909999999999</v>
      </c>
      <c r="K52" s="2">
        <v>514.17470000000003</v>
      </c>
    </row>
    <row r="53" spans="1:11" x14ac:dyDescent="0.3">
      <c r="A53" s="2">
        <v>64000</v>
      </c>
      <c r="B53" s="2">
        <v>1647.6356000000001</v>
      </c>
      <c r="C53" s="2">
        <v>1038.0461</v>
      </c>
      <c r="E53" s="2">
        <v>64000</v>
      </c>
      <c r="F53" s="2">
        <v>3083.2289000000001</v>
      </c>
      <c r="G53" s="2">
        <v>9.3200000000000005E-2</v>
      </c>
      <c r="I53" s="2">
        <v>64000</v>
      </c>
      <c r="J53" s="2">
        <v>2307.3020999999999</v>
      </c>
      <c r="K53" s="2">
        <v>2096.8153000000002</v>
      </c>
    </row>
    <row r="54" spans="1:11" x14ac:dyDescent="0.3">
      <c r="A54" s="2">
        <v>128000</v>
      </c>
      <c r="B54" s="2">
        <v>6449.5387000000001</v>
      </c>
      <c r="C54" s="2">
        <v>4179.1432000000004</v>
      </c>
      <c r="E54" s="2">
        <v>128000</v>
      </c>
      <c r="F54" s="2">
        <v>13345.0816</v>
      </c>
      <c r="G54" s="2">
        <v>0.27579999999999999</v>
      </c>
      <c r="I54" s="2">
        <v>128000</v>
      </c>
      <c r="J54" s="2">
        <v>9953.6134000000002</v>
      </c>
      <c r="K54" s="2">
        <v>8372.7314999999999</v>
      </c>
    </row>
    <row r="71" spans="1:11" x14ac:dyDescent="0.3">
      <c r="A71" s="2" t="s">
        <v>77</v>
      </c>
      <c r="B71" s="2"/>
      <c r="C71" s="2"/>
      <c r="E71" s="2" t="s">
        <v>78</v>
      </c>
      <c r="F71" s="2"/>
      <c r="G71" s="2"/>
      <c r="I71" s="2" t="s">
        <v>19</v>
      </c>
      <c r="J71" s="2"/>
      <c r="K71" s="2"/>
    </row>
    <row r="72" spans="1:11" x14ac:dyDescent="0.3">
      <c r="A72" s="2" t="s">
        <v>68</v>
      </c>
      <c r="B72" s="2" t="s">
        <v>75</v>
      </c>
      <c r="C72" s="2" t="s">
        <v>76</v>
      </c>
      <c r="E72" s="2" t="s">
        <v>68</v>
      </c>
      <c r="F72" s="2" t="s">
        <v>75</v>
      </c>
      <c r="G72" s="2" t="s">
        <v>76</v>
      </c>
      <c r="I72" s="2" t="s">
        <v>68</v>
      </c>
      <c r="J72" s="2" t="s">
        <v>75</v>
      </c>
      <c r="K72" s="2" t="s">
        <v>76</v>
      </c>
    </row>
    <row r="73" spans="1:11" x14ac:dyDescent="0.3">
      <c r="A73" s="2" t="s">
        <v>67</v>
      </c>
      <c r="B73" s="2">
        <f>B48/B47</f>
        <v>3.510201715743102</v>
      </c>
      <c r="C73" s="2">
        <f>C48/C47</f>
        <v>3.453662715978866</v>
      </c>
      <c r="E73" s="2" t="s">
        <v>67</v>
      </c>
      <c r="F73" s="2">
        <f>F48/F47</f>
        <v>2.900629539951574</v>
      </c>
      <c r="G73" s="2">
        <f>G48/G47</f>
        <v>1.6</v>
      </c>
      <c r="I73" s="2" t="s">
        <v>67</v>
      </c>
      <c r="J73" s="2">
        <f>J48/J47</f>
        <v>5.0685426819682435</v>
      </c>
      <c r="K73" s="2">
        <f>K48/K47</f>
        <v>1.9745408256046553</v>
      </c>
    </row>
    <row r="74" spans="1:11" x14ac:dyDescent="0.3">
      <c r="A74" s="2" t="s">
        <v>69</v>
      </c>
      <c r="B74" s="2">
        <f>B49/B48</f>
        <v>2.3922520558803133</v>
      </c>
      <c r="C74" s="2">
        <f>C49/C48</f>
        <v>2.1813859257421648</v>
      </c>
      <c r="E74" s="2" t="s">
        <v>69</v>
      </c>
      <c r="F74" s="2">
        <f>F49/F48</f>
        <v>4.8483755718054029</v>
      </c>
      <c r="G74" s="2">
        <f>G49/G48</f>
        <v>1.90625</v>
      </c>
      <c r="I74" s="2" t="s">
        <v>69</v>
      </c>
      <c r="J74" s="2">
        <f>J49/J48</f>
        <v>2.9373158400794019</v>
      </c>
      <c r="K74" s="2">
        <f>K49/K48</f>
        <v>3.9630226561060962</v>
      </c>
    </row>
    <row r="75" spans="1:11" x14ac:dyDescent="0.3">
      <c r="A75" s="2" t="s">
        <v>70</v>
      </c>
      <c r="B75" s="2">
        <f>B50/B49</f>
        <v>3.5211154828466897</v>
      </c>
      <c r="C75" s="2">
        <f>C50/C49</f>
        <v>3.7787865577437021</v>
      </c>
      <c r="E75" s="2" t="s">
        <v>70</v>
      </c>
      <c r="F75" s="2">
        <f>F50/F49</f>
        <v>3.6649954546706702</v>
      </c>
      <c r="G75" s="2">
        <f>G50/G49</f>
        <v>1.9508196721311475</v>
      </c>
      <c r="I75" s="2" t="s">
        <v>70</v>
      </c>
      <c r="J75" s="2">
        <f>J50/J49</f>
        <v>3.8658317670165361</v>
      </c>
      <c r="K75" s="2">
        <f>K50/K49</f>
        <v>3.8277036055820872</v>
      </c>
    </row>
    <row r="76" spans="1:11" x14ac:dyDescent="0.3">
      <c r="A76" s="2" t="s">
        <v>71</v>
      </c>
      <c r="B76" s="2">
        <f>B51/B50</f>
        <v>4.0188040085943264</v>
      </c>
      <c r="C76" s="2">
        <f>C51/C50</f>
        <v>3.5082236099616284</v>
      </c>
      <c r="E76" s="2" t="s">
        <v>71</v>
      </c>
      <c r="F76" s="2">
        <f>F51/F50</f>
        <v>3.4511511315890351</v>
      </c>
      <c r="G76" s="2">
        <f>G51/G50</f>
        <v>1.991596638655462</v>
      </c>
      <c r="I76" s="2" t="s">
        <v>71</v>
      </c>
      <c r="J76" s="2">
        <f>J51/J50</f>
        <v>3.9781126571283414</v>
      </c>
      <c r="K76" s="2">
        <f>K51/K50</f>
        <v>4.0363370328095787</v>
      </c>
    </row>
    <row r="77" spans="1:11" x14ac:dyDescent="0.3">
      <c r="A77" s="2" t="s">
        <v>72</v>
      </c>
      <c r="B77" s="2">
        <f>B52/B51</f>
        <v>3.8588649410148643</v>
      </c>
      <c r="C77" s="2">
        <f>C52/C51</f>
        <v>3.8842207152528463</v>
      </c>
      <c r="E77" s="2" t="s">
        <v>72</v>
      </c>
      <c r="F77" s="2">
        <f>F52/F51</f>
        <v>4.1475411710513859</v>
      </c>
      <c r="G77" s="2">
        <f>G52/G51</f>
        <v>3.4303797468354431</v>
      </c>
      <c r="I77" s="2" t="s">
        <v>72</v>
      </c>
      <c r="J77" s="2">
        <f>J52/J51</f>
        <v>3.9979476721631149</v>
      </c>
      <c r="K77" s="2">
        <f>K52/K51</f>
        <v>3.8670393506784575</v>
      </c>
    </row>
    <row r="78" spans="1:11" x14ac:dyDescent="0.3">
      <c r="A78" s="2" t="s">
        <v>73</v>
      </c>
      <c r="B78" s="2">
        <f>B53/B52</f>
        <v>4.1655852627022831</v>
      </c>
      <c r="C78" s="2">
        <f>C53/C52</f>
        <v>3.8209957705884738</v>
      </c>
      <c r="E78" s="2" t="s">
        <v>73</v>
      </c>
      <c r="F78" s="2">
        <f>F53/F52</f>
        <v>4.0476137589746841</v>
      </c>
      <c r="G78" s="2">
        <f>G53/G52</f>
        <v>1.1463714637146372</v>
      </c>
      <c r="I78" s="2" t="s">
        <v>73</v>
      </c>
      <c r="J78" s="2">
        <f>J53/J52</f>
        <v>3.9626724597348497</v>
      </c>
      <c r="K78" s="2">
        <f>K53/K52</f>
        <v>4.0780211472870995</v>
      </c>
    </row>
    <row r="79" spans="1:11" x14ac:dyDescent="0.3">
      <c r="A79" s="2" t="s">
        <v>74</v>
      </c>
      <c r="B79" s="2">
        <f>B54/B53</f>
        <v>3.914420579404815</v>
      </c>
      <c r="C79" s="2">
        <f>C54/C53</f>
        <v>4.0259707155587794</v>
      </c>
      <c r="E79" s="2" t="s">
        <v>74</v>
      </c>
      <c r="F79" s="2">
        <f>F54/F53</f>
        <v>4.3282811730261086</v>
      </c>
      <c r="G79" s="2">
        <f>G54/G53</f>
        <v>2.9592274678111585</v>
      </c>
      <c r="I79" s="2" t="s">
        <v>74</v>
      </c>
      <c r="J79" s="2">
        <f>J54/J53</f>
        <v>4.3139619211545819</v>
      </c>
      <c r="K79" s="2">
        <f>K54/K53</f>
        <v>3.9930705866177143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wonseok oh</dc:creator>
  <cp:lastModifiedBy>wonseok oh</cp:lastModifiedBy>
  <dcterms:created xsi:type="dcterms:W3CDTF">2026-09-12T15:01:00Z</dcterms:created>
  <dcterms:modified xsi:type="dcterms:W3CDTF">2026-09-12T15:41:59Z</dcterms:modified>
</cp:coreProperties>
</file>